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4.xml" ContentType="application/vnd.openxmlformats-officedocument.spreadsheetml.worksheet+xml"/>
  <Override PartName="/xl/worksheets/sheet5.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b833ed047654f3d" /></Relationships>
</file>

<file path=xl/workbook.xml><?xml version="1.0" encoding="utf-8"?>
<x:workbook xmlns:x="http://schemas.openxmlformats.org/spreadsheetml/2006/main">
  <x:sheets>
    <x:sheet xmlns:r="http://schemas.openxmlformats.org/officeDocument/2006/relationships" name="ملخص" sheetId="1" r:id="R9ab1bcf3e37142a8"/>
    <x:sheet xmlns:r="http://schemas.openxmlformats.org/officeDocument/2006/relationships" name="الافتراضات" sheetId="2" r:id="R5e7ccd3f922d4ae6"/>
    <x:sheet xmlns:r="http://schemas.openxmlformats.org/officeDocument/2006/relationships" name="التكاليف" sheetId="3" r:id="R3dddde8374794b71"/>
    <x:sheet xmlns:r="http://schemas.openxmlformats.org/officeDocument/2006/relationships" name="شهري" sheetId="4" r:id="R7c97bbbb55414e45"/>
    <x:sheet xmlns:r="http://schemas.openxmlformats.org/officeDocument/2006/relationships" name="السيناريوهات" sheetId="5" r:id="R33ec980775744ee1"/>
    <x:sheet xmlns:r="http://schemas.openxmlformats.org/officeDocument/2006/relationships" name="ثلاث سنوات" sheetId="6" r:id="R40c4520d712d4936"/>
    <x:sheet xmlns:r="http://schemas.openxmlformats.org/officeDocument/2006/relationships" name="المصادر والفحص" sheetId="7" r:id="Rbbea13698ff54895"/>
  </x:sheets>
</x:workbook>
</file>

<file path=xl/comments1.xml><?xml version="1.0" encoding="utf-8"?>
<x:comments xmlns:x="http://schemas.openxmlformats.org/spreadsheetml/2006/main">
  <x:authors>
    <x:author>tc={B79DB5E4-B5CA-4403-A5A0-E1D6C15F25DA}</x:author>
    <x:author>tc={67A8B8BD-3D68-4C36-8DCB-749E99700211}</x:author>
    <x:author>tc={D94B68BD-8CA3-4464-BBC5-CBC6B7F3A8EB}</x:author>
    <x:author>tc={E54928D5-1EC3-48C9-A5D7-756D22E8413B}</x:author>
    <x:author>tc={D363F85B-38A6-436B-800C-58FB81C7A4A2}</x:author>
    <x:author>tc={E269BEA0-35D2-4B7A-8F82-536EF3A508C6}</x:author>
    <x:author>tc={A7F0077A-F08A-40EE-9303-2B1BE9559179}</x:author>
    <x:author>tc={CAD29107-1F5C-4AFF-B30D-B3946EC907D1}</x:author>
    <x:author>tc={186082C8-91C5-4CA3-B333-2C5183499159}</x:author>
    <x:author>tc={3C0113B5-25FA-4690-AE4F-AA7AAC869DB9}</x:author>
    <x:author>tc={20DD3FEC-8241-48CA-BC88-98948AF5F843}</x:author>
    <x:author>tc={27BCF902-C0D1-40B6-8EF8-4927EABFBFFF}</x:author>
    <x:author>tc={404EF1FD-2EB9-4EE4-BEF5-3DC45451D69D}</x:author>
    <x:author>tc={6D87C76E-347E-4AB9-9596-5389DF061A9D}</x:author>
    <x:author>tc={7C7A0B88-CF95-4AFF-BBC6-639ED76EEDB1}</x:author>
    <x:author>tc={1210B9BB-CBFD-4B7A-BBE2-0213E7D9C3FB}</x:author>
    <x:author>tc={D8915B6F-62FD-4326-9357-2773B2C3E2EF}</x:author>
    <x:author>tc={2BB568D3-5C80-4075-A67B-57E0579E2468}</x:author>
    <x:author>tc={25A4A223-0134-4285-BED8-EE997CCD5CA2}</x:author>
    <x:author>tc={743C893F-D553-42BE-BB3A-620C0F3416DA}</x:author>
    <x:author>tc={070E9F36-D3D5-4DC8-98AA-3C0FEB3280AF}</x:author>
    <x:author>tc={011430E9-5510-43B2-87CB-647D7BB37E3C}</x:author>
    <x:author>tc={FB1F16EF-3445-4111-8615-9E661BA39E52}</x:author>
    <x:author>tc={F023DE36-6CA0-4C9E-B189-D8B99261B585}</x:author>
    <x:author>tc={C9A838CE-B85B-4A0D-B2A1-712C34DD06AF}</x:author>
  </x:authors>
  <x:commentList>
    <x:comment ref="B6" authorId="0">
      <x:text>
        <x:r>
          <x:t>[Threaded comment]
Your version of Excel allows you to read this threaded comment; however, any edits to it will get removed if the file is opened in a newer version of Excel. Learn more: https://go.microsoft.com/fwlink/?linkid=870924
Comment:
    يشمل القيمة المضافة قبل الخصم. المصدر: افتراض داخلي، باستثناء الضريبة الموثقة في ورقة المصادر.</x:t>
        </x:r>
      </x:text>
    </x:comment>
    <x:comment ref="B7" authorId="1">
      <x:text>
        <x:r>
          <x:t>[Threaded comment]
Your version of Excel allows you to read this threaded comment; however, any edits to it will get removed if the file is opened in a newer version of Excel. Learn more: https://go.microsoft.com/fwlink/?linkid=870924
Comment:
    المصدر الرسمي: ZATCA؛ النموذج يفترض تكلفة صافية من المدخلات القابلة للاسترداد. المصدر: افتراض داخلي، باستثناء الضريبة الموثقة في ورقة المصادر.</x:t>
        </x:r>
      </x:text>
    </x:comment>
    <x:comment ref="B8" authorId="2">
      <x:text>
        <x:r>
          <x:t>[Threaded comment]
Your version of Excel allows you to read this threaded comment; however, any edits to it will get removed if the file is opened in a newer version of Excel. Learn more: https://go.microsoft.com/fwlink/?linkid=870924
Comment:
    افتراض على كل الطلبات. المصدر: افتراض داخلي، باستثناء الضريبة الموثقة في ورقة المصادر.</x:t>
        </x:r>
      </x:text>
    </x:comment>
    <x:comment ref="B9" authorId="3">
      <x:text>
        <x:r>
          <x:t>[Threaded comment]
Your version of Excel allows you to read this threaded comment; however, any edits to it will get removed if the file is opened in a newer version of Excel. Learn more: https://go.microsoft.com/fwlink/?linkid=870924
Comment:
    خصم من الإيراد بعد التخفيض؛ لا يعاد المنتج للمخزون. المصدر: افتراض داخلي، باستثناء الضريبة الموثقة في ورقة المصادر.</x:t>
        </x:r>
      </x:text>
    </x:comment>
    <x:comment ref="B11" authorId="4">
      <x:text>
        <x:r>
          <x:t>[Threaded comment]
Your version of Excel allows you to read this threaded comment; however, any edits to it will get removed if the file is opened in a newer version of Excel. Learn more: https://go.microsoft.com/fwlink/?linkid=870924
Comment:
    تجهيز الطلب، مستقل عن تصنيع العلبة. المصدر: افتراض داخلي، باستثناء الضريبة الموثقة في ورقة المصادر.</x:t>
        </x:r>
      </x:text>
    </x:comment>
    <x:comment ref="B12" authorId="5">
      <x:text>
        <x:r>
          <x:t>[Threaded comment]
Your version of Excel allows you to read this threaded comment; however, any edits to it will get removed if the file is opened in a newer version of Excel. Learn more: https://go.microsoft.com/fwlink/?linkid=870924
Comment:
    تتحمله العلامة؛ لا إيراد شحن. المصدر: افتراض داخلي، باستثناء الضريبة الموثقة في ورقة المصادر.</x:t>
        </x:r>
      </x:text>
    </x:comment>
    <x:comment ref="B13" authorId="6">
      <x:text>
        <x:r>
          <x:t>[Threaded comment]
Your version of Excel allows you to read this threaded comment; however, any edits to it will get removed if the file is opened in a newer version of Excel. Learn more: https://go.microsoft.com/fwlink/?linkid=870924
Comment:
    على المحصل بعد الخصم وقبل الاسترداد. المصدر: افتراض داخلي، باستثناء الضريبة الموثقة في ورقة المصادر.</x:t>
        </x:r>
      </x:text>
    </x:comment>
    <x:comment ref="B14" authorId="7">
      <x:text>
        <x:r>
          <x:t>[Threaded comment]
Your version of Excel allows you to read this threaded comment; however, any edits to it will get removed if the file is opened in a newer version of Excel. Learn more: https://go.microsoft.com/fwlink/?linkid=870924
Comment:
    إضافة إلى النسبة. المصدر: افتراض داخلي، باستثناء الضريبة الموثقة في ورقة المصادر.</x:t>
        </x:r>
      </x:text>
    </x:comment>
    <x:comment ref="B15" authorId="8">
      <x:text>
        <x:r>
          <x:t>[Threaded comment]
Your version of Excel allows you to read this threaded comment; however, any edits to it will get removed if the file is opened in a newer version of Excel. Learn more: https://go.microsoft.com/fwlink/?linkid=870924
Comment:
    نقل ومعالجة إضافية؛ مستقل عن رد الإيراد. المصدر: افتراض داخلي، باستثناء الضريبة الموثقة في ورقة المصادر.</x:t>
        </x:r>
      </x:text>
    </x:comment>
    <x:comment ref="B16" authorId="9">
      <x:text>
        <x:r>
          <x:t>[Threaded comment]
Your version of Excel allows you to read this threaded comment; however, any edits to it will get removed if the file is opened in a newer version of Excel. Learn more: https://go.microsoft.com/fwlink/?linkid=870924
Comment:
    متوسط إنفاق على كل الطلبات، وليس تكلفة عميل جديد. المصدر: افتراض داخلي، باستثناء الضريبة الموثقة في ورقة المصادر.</x:t>
        </x:r>
      </x:text>
    </x:comment>
    <x:comment ref="B19" authorId="10">
      <x:text>
        <x:r>
          <x:t>[Threaded comment]
Your version of Excel allows you to read this threaded comment; however, any edits to it will get removed if the file is opened in a newer version of Excel. Learn more: https://go.microsoft.com/fwlink/?linkid=870924
Comment:
    دفع بالكامل قبل الشهر الأول. المصدر: افتراض داخلي، باستثناء الضريبة الموثقة في ورقة المصادر.</x:t>
        </x:r>
      </x:text>
    </x:comment>
    <x:comment ref="B20" authorId="11">
      <x:text>
        <x:r>
          <x:t>[Threaded comment]
Your version of Excel allows you to read this threaded comment; however, any edits to it will get removed if the file is opened in a newer version of Excel. Learn more: https://go.microsoft.com/fwlink/?linkid=870924
Comment:
    لا استرداد داخل أفق السنة. المصدر: افتراض داخلي، باستثناء الضريبة الموثقة في ورقة المصادر.</x:t>
        </x:r>
      </x:text>
    </x:comment>
    <x:comment ref="B21" authorId="12">
      <x:text>
        <x:r>
          <x:t>[Threaded comment]
Your version of Excel allows you to read this threaded comment; however, any edits to it will get removed if the file is opened in a newer version of Excel. Learn more: https://go.microsoft.com/fwlink/?linkid=870924
Comment:
    سيولة افتتاحية وليست مصروفًا. المصدر: افتراض داخلي، باستثناء الضريبة الموثقة في ورقة المصادر.</x:t>
        </x:r>
      </x:text>
    </x:comment>
    <x:comment ref="B22" authorId="13">
      <x:text>
        <x:r>
          <x:t>[Threaded comment]
Your version of Excel allows you to read this threaded comment; however, any edits to it will get removed if the file is opened in a newer version of Excel. Learn more: https://go.microsoft.com/fwlink/?linkid=870924
Comment:
    خارج حركة النقد الأساسية؛ احتياطي تقديري يحتاج مراجعة. المصدر: افتراض داخلي، باستثناء الضريبة الموثقة في ورقة المصادر.</x:t>
        </x:r>
      </x:text>
    </x:comment>
    <x:comment ref="B23" authorId="14">
      <x:text>
        <x:r>
          <x:t>[Threaded comment]
Your version of Excel allows you to read this threaded comment; however, any edits to it will get removed if the file is opened in a newer version of Excel. Learn more: https://go.microsoft.com/fwlink/?linkid=870924
Comment:
    مرجع للتخطيط؛ عدل مواعيد وكميات الاستلام في الصف 52 يدويًا. المصدر: افتراض داخلي، باستثناء الضريبة الموثقة في ورقة المصادر.</x:t>
        </x:r>
      </x:text>
    </x:comment>
    <x:comment ref="B24" authorId="15">
      <x:text>
        <x:r>
          <x:t>[Threaded comment]
Your version of Excel allows you to read this threaded comment; however, any edits to it will get removed if the file is opened in a newer version of Excel. Learn more: https://go.microsoft.com/fwlink/?linkid=870924
Comment:
    الدفعة المقدمة تسبق الاستلام بهذه المدة. المصدر: افتراض داخلي، باستثناء الضريبة الموثقة في ورقة المصادر.</x:t>
        </x:r>
      </x:text>
    </x:comment>
    <x:comment ref="B25" authorId="16">
      <x:text>
        <x:r>
          <x:t>[Threaded comment]
Your version of Excel allows you to read this threaded comment; however, any edits to it will get removed if the file is opened in a newer version of Excel. Learn more: https://go.microsoft.com/fwlink/?linkid=870924
Comment:
    الباقي عند استلام الدفعة. المصدر: افتراض داخلي، باستثناء الضريبة الموثقة في ورقة المصادر.</x:t>
        </x:r>
      </x:text>
    </x:comment>
    <x:comment ref="B26" authorId="17">
      <x:text>
        <x:r>
          <x:t>[Threaded comment]
Your version of Excel allows you to read this threaded comment; however, any edits to it will get removed if the file is opened in a newer version of Excel. Learn more: https://go.microsoft.com/fwlink/?linkid=870924
Comment:
    عتبة تنبيه، لا تولد أمر شراء آليًا. المصدر: افتراض داخلي، باستثناء الضريبة الموثقة في ورقة المصادر.</x:t>
        </x:r>
      </x:text>
    </x:comment>
    <x:comment ref="B27" authorId="18">
      <x:text>
        <x:r>
          <x:t>[Threaded comment]
Your version of Excel allows you to read this threaded comment; however, any edits to it will get removed if the file is opened in a newer version of Excel. Learn more: https://go.microsoft.com/fwlink/?linkid=870924
Comment:
    افتراض لتقدير الزيارات، لم يختبر. المصدر: افتراض داخلي، باستثناء الضريبة الموثقة في ورقة المصادر.</x:t>
        </x:r>
      </x:text>
    </x:comment>
    <x:comment ref="B28" authorId="19">
      <x:text>
        <x:r>
          <x:t>[Threaded comment]
Your version of Excel allows you to read this threaded comment; however, any edits to it will get removed if the file is opened in a newer version of Excel. Learn more: https://go.microsoft.com/fwlink/?linkid=870924
Comment:
    افتراض نمو الطلبات. المصدر: افتراض داخلي، باستثناء الضريبة الموثقة في ورقة المصادر.</x:t>
        </x:r>
      </x:text>
    </x:comment>
    <x:comment ref="B29" authorId="20">
      <x:text>
        <x:r>
          <x:t>[Threaded comment]
Your version of Excel allows you to read this threaded comment; however, any edits to it will get removed if the file is opened in a newer version of Excel. Learn more: https://go.microsoft.com/fwlink/?linkid=870924
Comment:
    افتراض نمو الطلبات. المصدر: افتراض داخلي، باستثناء الضريبة الموثقة في ورقة المصادر.</x:t>
        </x:r>
      </x:text>
    </x:comment>
    <x:comment ref="B30" authorId="21">
      <x:text>
        <x:r>
          <x:t>[Threaded comment]
Your version of Excel allows you to read this threaded comment; however, any edits to it will get removed if the file is opened in a newer version of Excel. Learn more: https://go.microsoft.com/fwlink/?linkid=870924
Comment:
    يطبق على تكلفة المنتج وحدها. المصدر: افتراض داخلي، باستثناء الضريبة الموثقة في ورقة المصادر.</x:t>
        </x:r>
      </x:text>
    </x:comment>
    <x:comment ref="B31" authorId="22">
      <x:text>
        <x:r>
          <x:t>[Threaded comment]
Your version of Excel allows you to read this threaded comment; however, any edits to it will get removed if the file is opened in a newer version of Excel. Learn more: https://go.microsoft.com/fwlink/?linkid=870924
Comment:
    زيادة الموارد التشغيلية. المصدر: افتراض داخلي، باستثناء الضريبة الموثقة في ورقة المصادر.</x:t>
        </x:r>
      </x:text>
    </x:comment>
    <x:comment ref="B32" authorId="23">
      <x:text>
        <x:r>
          <x:t>[Threaded comment]
Your version of Excel allows you to read this threaded comment; however, any edits to it will get removed if the file is opened in a newer version of Excel. Learn more: https://go.microsoft.com/fwlink/?linkid=870924
Comment:
    ثابت في هذا الملف؛ الجداول مبنية على 12 شهرًا. المصدر: افتراض داخلي، باستثناء الضريبة الموثقة في ورقة المصادر.</x:t>
        </x:r>
      </x:text>
    </x:comment>
    <x:comment ref="B33" authorId="24">
      <x:text>
        <x:r>
          <x:t>[Threaded comment]
Your version of Excel allows you to read this threaded comment; however, any edits to it will get removed if the file is opened in a newer version of Excel. Learn more: https://go.microsoft.com/fwlink/?linkid=870924
Comment:
    فروق تقريبات الحسابات. المصدر: افتراض داخلي، باستثناء الضريبة الموثقة في ورقة المصادر.</x:t>
        </x:r>
      </x:text>
    </x:comment>
  </x:commentList>
</x:comments>
</file>

<file path=xl/comments2.xml><?xml version="1.0" encoding="utf-8"?>
<x:comments xmlns:x="http://schemas.openxmlformats.org/spreadsheetml/2006/main">
  <x:authors>
    <x:author>tc={30DFB690-C441-4399-8D81-622F0E1A5DC8}</x:author>
    <x:author>tc={3EB6235B-BF23-4096-A6EE-64389DA842DD}</x:author>
    <x:author>tc={31687679-DF68-437E-8E40-441BC2A9D5F2}</x:author>
    <x:author>tc={083EDC52-7C0E-485A-B9C5-FD7C2F9D8228}</x:author>
    <x:author>tc={FABA5547-C860-4F01-95B5-A07B8E2FC8A3}</x:author>
    <x:author>tc={219F60E0-C0B1-446D-B460-457239E5DC80}</x:author>
    <x:author>tc={D0353587-0159-49B4-8FCB-8F333AA6ECB9}</x:author>
    <x:author>tc={122AB475-5BDB-4ACD-B7D8-A29DC0C6F195}</x:author>
    <x:author>tc={F15FAF76-ECC5-454B-8EBA-F5663F202EAD}</x:author>
    <x:author>tc={FD90E46C-69AE-4AED-A908-419CFE4F4B00}</x:author>
    <x:author>tc={E38C0F0A-8A50-4BD6-87BA-5F121932749D}</x:author>
    <x:author>tc={E662A456-AD4F-4795-B5A1-53210678EA1E}</x:author>
    <x:author>tc={037236AB-CA5A-4DB8-A92B-F1594B950916}</x:author>
    <x:author>tc={9AA009F6-9780-48D5-840D-2951624E0CE2}</x:author>
    <x:author>tc={2FBD45ED-4521-49D2-ABF8-1B191A10489A}</x:author>
    <x:author>tc={0A5CABF1-C4B5-4B76-84E2-44A90D636CB4}</x:author>
    <x:author>tc={48D833BE-9A45-4A26-B25B-2092AF5FF9EB}</x:author>
    <x:author>tc={4D75F3B6-C091-4799-9BF3-0C69FA74EFEB}</x:author>
    <x:author>tc={CC968290-EB75-4C4F-B1D7-28377D16FA93}</x:author>
    <x:author>tc={3B49C750-73B6-47FD-85B5-72851AF3D5AD}</x:author>
    <x:author>tc={DAF2D884-8D34-49BD-B82B-C8EFA15E0158}</x:author>
    <x:author>tc={D4B0DEBE-7A3C-4C23-A2E5-57A5D9A41FEE}</x:author>
  </x:authors>
  <x:commentList>
    <x:comment ref="B6" authorId="0">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7" authorId="1">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8" authorId="2">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9" authorId="3">
      <x:text>
        <x:r>
          <x:t>[Threaded comment]
Your version of Excel allows you to read this threaded comment; however, any edits to it will get removed if the file is opened in a newer version of Excel. Learn more: https://go.microsoft.com/fwlink/?linkid=870924
Comment:
    رسوم طلب واحد وفئة واحدة: 1000 طلب + 500 نشر + 5000 تسجيل. المصدر: https://www.saip.gov.sa/ar/services/trademarks/trademark-registration — مراجعة 2026-09-07.</x:t>
        </x:r>
      </x:text>
    </x:comment>
    <x:comment ref="B10" authorId="4">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11" authorId="5">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12" authorId="6">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13" authorId="7">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17" authorId="8">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18" authorId="9">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19" authorId="10">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20" authorId="11">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21" authorId="12">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22" authorId="13">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23" authorId="14">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24" authorId="15">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28" authorId="16">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29" authorId="17">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30" authorId="18">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31" authorId="19">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32" authorId="20">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 ref="B33" authorId="21">
      <x:text>
        <x:r>
          <x:t>[Threaded comment]
Your version of Excel allows you to read this threaded comment; however, any edits to it will get removed if the file is opened in a newer version of Excel. Learn more: https://go.microsoft.com/fwlink/?linkid=870924
Comment:
    افتراض داخلي للتخطيط، يحتاج عرض سعر أو عقد قبل الالتزام.</x:t>
        </x:r>
      </x:text>
    </x:comment>
  </x:commentList>
</x:comments>
</file>

<file path=xl/comments3.xml><?xml version="1.0" encoding="utf-8"?>
<x:comments xmlns:x="http://schemas.openxmlformats.org/spreadsheetml/2006/main">
  <x:authors>
    <x:author>tc={8C87559C-1E03-40BA-BE7A-766488CB6D48}</x:author>
    <x:author>tc={7A982B2A-1A39-4ADF-88F3-3E782089506C}</x:author>
    <x:author>tc={2B679341-C5B2-4186-8C62-C1B1715FB2A4}</x:author>
    <x:author>tc={B3AE2536-C42A-4206-B9AE-B84EC4B7B377}</x:author>
    <x:author>tc={8C3CBF82-1C6D-422A-826B-CE038CCBF854}</x:author>
    <x:author>tc={C1E1DFA7-B5C4-48FE-951E-31FA5F9E772A}</x:author>
    <x:author>tc={F5B430D9-6333-44F9-83C4-DAE0065D5F40}</x:author>
    <x:author>tc={75287C9D-F2C4-461E-9D4F-B6F4B3EC20F6}</x:author>
    <x:author>tc={E023C86F-D8CF-4B51-A13A-7B2BB3D4819F}</x:author>
    <x:author>tc={4278C17E-772A-4A63-BA0F-C483CAF061B9}</x:author>
    <x:author>tc={18F548BB-AEA7-4424-B7DB-3946C6BD6DEC}</x:author>
    <x:author>tc={26B64DD2-A62D-49B8-A328-B646467A2509}</x:author>
    <x:author>tc={277AF1C9-1504-41F3-AF34-5C068E3B3765}</x:author>
    <x:author>tc={00138201-D878-4AB0-86AD-902696732D3C}</x:author>
    <x:author>tc={BB114C9D-D509-4ED6-B0D7-B4E6B724C2D8}</x:author>
    <x:author>tc={089588E6-E4C7-48F3-A730-A6B0C0FD8809}</x:author>
    <x:author>tc={2961E1C9-403F-4F8E-8950-651A2F5E4CD0}</x:author>
    <x:author>tc={280C7EA2-A64A-4ED8-8E77-657557F33EFF}</x:author>
    <x:author>tc={8FE32204-0496-4230-A72C-2F0103E2ADAB}</x:author>
    <x:author>tc={C4C3789B-9AEC-4878-8714-F6B591C38EFC}</x:author>
    <x:author>tc={B6869116-7B0D-48A6-A8E5-05F314B91FAE}</x:author>
    <x:author>tc={16A0BBEA-A5E6-468F-891F-9924F6EEE5CB}</x:author>
    <x:author>tc={CFD57B24-D902-4351-B735-5C8F57A9A13F}</x:author>
    <x:author>tc={27B98C31-A0C0-4FC4-9D9F-62C27A572372}</x:author>
  </x:authors>
  <x:commentList>
    <x:comment ref="B6" authorId="0">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B7" authorId="1">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B8" authorId="2">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B9" authorId="3">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B10" authorId="4">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B11" authorId="5">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B12" authorId="6">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B13" authorId="7">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B14" authorId="8">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B15" authorId="9">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B16" authorId="10">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B17" authorId="11">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D6" authorId="12">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D7" authorId="13">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D8" authorId="14">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D9" authorId="15">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D10" authorId="16">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D11" authorId="17">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D12" authorId="18">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D13" authorId="19">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D14" authorId="20">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D15" authorId="21">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D16" authorId="22">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 ref="D17" authorId="23">
      <x:text>
        <x:r>
          <x:t>[Threaded comment]
Your version of Excel allows you to read this threaded comment; however, any edits to it will get removed if the file is opened in a newer version of Excel. Learn more: https://go.microsoft.com/fwlink/?linkid=870924
Comment:
    سيناريو افتراضي غير احتمالي؛ يعدل بالاختبار والعروض.</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Red](#,##0);&quot;—&quot;"/>
    <x:numFmt numFmtId="201" formatCode="0.0%"/>
    <x:numFmt numFmtId="202" formatCode="#,##0.00;[Red](#,##0.00);&quot;—&quot;"/>
  </x:numFmts>
  <x:fonts count="9">
    <x:font>
      <x:sz val="11"/>
      <x:name val="Carlito"/>
    </x:font>
    <x:font>
      <x:sz val="11"/>
      <x:color rgb="FF382D42"/>
      <x:name val="IBM Plex Sans Arabic"/>
    </x:font>
    <x:font>
      <x:b/>
      <x:sz val="11"/>
      <x:color rgb="FFFFFFFF"/>
      <x:name val="IBM Plex Sans Arabic"/>
    </x:font>
    <x:font>
      <x:sz val="11"/>
      <x:color rgb="FF0000FF"/>
      <x:name val="IBM Plex Sans Arabic"/>
    </x:font>
    <x:font>
      <x:sz val="11"/>
      <x:color rgb="FF000000"/>
      <x:name val="IBM Plex Sans Arabic"/>
    </x:font>
    <x:font>
      <x:sz val="11"/>
      <x:color rgb="FF008000"/>
      <x:name val="IBM Plex Sans Arabic"/>
    </x:font>
    <x:font>
      <x:b/>
      <x:sz val="11"/>
      <x:color rgb="FF382D42"/>
      <x:name val="IBM Plex Sans Arabic"/>
    </x:font>
    <x:font>
      <x:b/>
      <x:sz val="11"/>
      <x:color rgb="FF008000"/>
      <x:name val="IBM Plex Sans Arabic"/>
    </x:font>
    <x:font>
      <x:b/>
      <x:sz val="11"/>
      <x:color rgb="FF000000"/>
      <x:name val="IBM Plex Sans Arabic"/>
    </x:font>
  </x:fonts>
  <x:fills count="5">
    <x:fill>
      <x:patternFill patternType="none"/>
    </x:fill>
    <x:fill>
      <x:patternFill patternType="gray125"/>
    </x:fill>
    <x:fill>
      <x:patternFill patternType="solid">
        <x:fgColor rgb="FF382D42"/>
      </x:patternFill>
    </x:fill>
    <x:fill>
      <x:patternFill patternType="solid">
        <x:fgColor rgb="FFF2EFE8"/>
      </x:patternFill>
    </x:fill>
    <x:fill>
      <x:patternFill patternType="solid">
        <x:fgColor rgb="FFCCD8C2"/>
      </x:patternFill>
    </x:fill>
  </x:fills>
  <x:borders count="1">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horizontal="right"/>
    </x:xf>
    <x:xf numFmtId="0" fontId="1" fillId="0"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0" fontId="1" fillId="2" borderId="0" xfId="0" applyNumberFormat="1" applyFont="1" applyFill="1" applyBorder="1" applyAlignment="1">
      <x:alignment horizontal="right" vertical="center"/>
    </x:xf>
    <x:xf numFmtId="0" fontId="2" fillId="2" borderId="0" xfId="0" applyNumberFormat="1" applyFont="1" applyFill="1" applyBorder="1" applyAlignment="1">
      <x:alignment horizontal="right" vertical="center"/>
    </x:xf>
    <x:xf numFmtId="0" fontId="1" fillId="3" borderId="0" xfId="0" applyNumberFormat="1" applyFont="1" applyFill="1" applyBorder="1" applyAlignment="1">
      <x:alignment horizontal="right" vertical="center"/>
    </x:xf>
    <x:xf numFmtId="0" fontId="1" fillId="3" borderId="0" xfId="0" applyNumberFormat="1" applyFont="1" applyFill="1" applyBorder="1" applyAlignment="1">
      <x:alignment horizontal="right" vertical="center" wrapText="1"/>
    </x:xf>
    <x:xf numFmtId="200" fontId="1" fillId="4" borderId="0" xfId="0" applyNumberFormat="1" applyFont="1" applyFill="1" applyBorder="1" applyAlignment="1">
      <x:alignment horizontal="right" vertical="center"/>
    </x:xf>
    <x:xf numFmtId="200" fontId="3" fillId="4" borderId="0" xfId="0" applyNumberFormat="1" applyFont="1" applyFill="1" applyBorder="1" applyAlignment="1">
      <x:alignment horizontal="right" vertical="center"/>
    </x:xf>
    <x:xf numFmtId="200" fontId="4" fillId="0" borderId="0" xfId="0" applyNumberFormat="1" applyFont="1" applyFill="1" applyBorder="1" applyAlignment="1">
      <x:alignment horizontal="right" vertical="center"/>
    </x:xf>
    <x:xf numFmtId="200" fontId="4" fillId="3" borderId="0" xfId="0" applyNumberFormat="1" applyFont="1" applyFill="1" applyBorder="1" applyAlignment="1">
      <x:alignment horizontal="right" vertical="center"/>
    </x:xf>
    <x:xf numFmtId="200" fontId="1" fillId="3" borderId="0" xfId="0" applyNumberFormat="1" applyFont="1" applyFill="1" applyBorder="1" applyAlignment="1">
      <x:alignment horizontal="right" vertical="center"/>
    </x:xf>
    <x:xf numFmtId="200" fontId="1" fillId="2" borderId="0" xfId="0" applyNumberFormat="1" applyFont="1" applyFill="1" applyBorder="1" applyAlignment="1">
      <x:alignment horizontal="right" vertical="center"/>
    </x:xf>
    <x:xf numFmtId="200" fontId="2" fillId="2" borderId="0" xfId="0" applyNumberFormat="1" applyFont="1" applyFill="1" applyBorder="1" applyAlignment="1">
      <x:alignment horizontal="right" vertical="center"/>
    </x:xf>
    <x:xf numFmtId="0" fontId="1" fillId="0" borderId="0" xfId="0" applyNumberFormat="1" applyFont="1" applyFill="1" applyBorder="1" applyAlignment="1">
      <x:alignment horizontal="right" vertical="center" wrapText="1"/>
    </x:xf>
    <x:xf numFmtId="200" fontId="1" fillId="0" borderId="0" xfId="0" applyNumberFormat="1" applyFont="1" applyFill="1" applyBorder="1" applyAlignment="1">
      <x:alignment horizontal="right" vertical="center" wrapText="1"/>
    </x:xf>
    <x:xf numFmtId="0" fontId="2" fillId="2" borderId="0" xfId="0" applyNumberFormat="1" applyFont="1" applyFill="1" applyBorder="1" applyAlignment="1">
      <x:alignment horizontal="right" vertical="center" wrapText="1"/>
    </x:xf>
    <x:xf numFmtId="200" fontId="5" fillId="0" borderId="0" xfId="0" applyNumberFormat="1" applyFont="1" applyFill="1" applyBorder="1" applyAlignment="1">
      <x:alignment horizontal="right" vertical="center"/>
    </x:xf>
    <x:xf numFmtId="201" fontId="3" fillId="4" borderId="0" xfId="0" applyNumberFormat="1" applyFont="1" applyFill="1" applyBorder="1" applyAlignment="1">
      <x:alignment horizontal="right" vertical="center"/>
    </x:xf>
    <x:xf numFmtId="202" fontId="3" fillId="4" borderId="0" xfId="0" applyNumberFormat="1" applyFont="1" applyFill="1" applyBorder="1" applyAlignment="1">
      <x:alignment horizontal="right" vertical="center"/>
    </x:xf>
    <x:xf numFmtId="202" fontId="1" fillId="4" borderId="0" xfId="0" applyNumberFormat="1" applyFont="1" applyFill="1" applyBorder="1" applyAlignment="1">
      <x:alignment horizontal="right" vertical="center"/>
    </x:xf>
    <x:xf numFmtId="202" fontId="4" fillId="0" borderId="0" xfId="0" applyNumberFormat="1" applyFont="1" applyFill="1" applyBorder="1" applyAlignment="1">
      <x:alignment horizontal="right" vertical="center"/>
    </x:xf>
    <x:xf numFmtId="201" fontId="4" fillId="0" borderId="0" xfId="0" applyNumberFormat="1" applyFont="1" applyFill="1" applyBorder="1" applyAlignment="1">
      <x:alignment horizontal="right" vertical="center"/>
    </x:xf>
    <x:xf numFmtId="0" fontId="1" fillId="4"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0" fontId="6" fillId="4" borderId="0" xfId="0" applyNumberFormat="1" applyFont="1" applyFill="1" applyBorder="1" applyAlignment="1">
      <x:alignment horizontal="right" vertical="center"/>
    </x:xf>
    <x:xf numFmtId="200" fontId="7" fillId="4" borderId="0" xfId="0" applyNumberFormat="1" applyFont="1" applyFill="1" applyBorder="1" applyAlignment="1">
      <x:alignment horizontal="right" vertical="center"/>
    </x:xf>
    <x:xf numFmtId="200" fontId="4" fillId="4" borderId="0" xfId="0" applyNumberFormat="1" applyFont="1" applyFill="1" applyBorder="1" applyAlignment="1">
      <x:alignment horizontal="right" vertical="center"/>
    </x:xf>
    <x:xf numFmtId="200" fontId="8" fillId="4" borderId="0" xfId="0" applyNumberFormat="1" applyFont="1" applyFill="1" applyBorder="1" applyAlignment="1">
      <x:alignment horizontal="right" vertical="center"/>
    </x:xf>
    <x:xf numFmtId="201" fontId="5" fillId="0" borderId="0" xfId="0" applyNumberFormat="1" applyFont="1" applyFill="1" applyBorder="1" applyAlignment="1">
      <x:alignment horizontal="right" vertical="center"/>
    </x:xf>
    <x:xf numFmtId="202" fontId="5" fillId="0" borderId="0" xfId="0" applyNumberFormat="1" applyFont="1" applyFill="1" applyBorder="1" applyAlignment="1">
      <x:alignment horizontal="right" vertical="center"/>
    </x:xf>
    <x:xf numFmtId="200" fontId="3" fillId="0" borderId="0" xfId="0" applyNumberFormat="1" applyFont="1" applyFill="1" applyBorder="1" applyAlignment="1">
      <x:alignment horizontal="right" vertical="center"/>
    </x:xf>
    <x:xf numFmtId="0" fontId="3" fillId="0" borderId="0" xfId="0" applyNumberFormat="1" applyFont="1" applyFill="1" applyBorder="1" applyAlignment="1">
      <x:alignment horizontal="right" vertical="center"/>
    </x:xf>
    <x:xf numFmtId="201" fontId="5" fillId="4"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1e8c6d0c3e451f" /><Relationship Type="http://schemas.openxmlformats.org/officeDocument/2006/relationships/theme" Target="/xl/theme/theme1.xml" Id="R79dcd80c14e641ab" /><Relationship Type="http://schemas.openxmlformats.org/officeDocument/2006/relationships/sharedStrings" Target="/xl/sharedStrings.xml" Id="Rc368e25aefc64c12" /><Relationship Type="http://schemas.openxmlformats.org/officeDocument/2006/relationships/worksheet" Target="/xl/worksheets/sheet1.xml" Id="R9ab1bcf3e37142a8" /><Relationship Type="http://schemas.openxmlformats.org/officeDocument/2006/relationships/worksheet" Target="/xl/worksheets/sheet2.xml" Id="R5e7ccd3f922d4ae6" /><Relationship Type="http://schemas.openxmlformats.org/officeDocument/2006/relationships/worksheet" Target="/xl/worksheets/sheet3.xml" Id="R3dddde8374794b71" /><Relationship Type="http://schemas.openxmlformats.org/officeDocument/2006/relationships/worksheet" Target="/xl/worksheets/sheet4.xml" Id="R7c97bbbb55414e45" /><Relationship Type="http://schemas.openxmlformats.org/officeDocument/2006/relationships/worksheet" Target="/xl/worksheets/sheet5.xml" Id="R33ec980775744ee1" /><Relationship Type="http://schemas.openxmlformats.org/officeDocument/2006/relationships/worksheet" Target="/xl/worksheets/sheet6.xml" Id="R40c4520d712d4936" /><Relationship Type="http://schemas.openxmlformats.org/officeDocument/2006/relationships/worksheet" Target="/xl/worksheets/sheet7.xml" Id="Rbbea13698ff54895" /><Relationship Type="http://schemas.microsoft.com/office/2017/10/relationships/person" Target="/xl/persons/person.xml" Id="R3fa44fbd6e024c7f" /></Relationships>
</file>

<file path=xl/persons/person.xml><?xml version="1.0" encoding="utf-8"?>
<xltc:personList xmlns:xltc="http://schemas.microsoft.com/office/spreadsheetml/2018/threadedcomments">
  <xltc:person displayName="ATHR — AEVU study" id="{8B567A24-3E2B-41B3-8702-8639C6F7246F}"/>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6" dT="2026-09-07T15:46:05.854" personId="{8B567A24-3E2B-41B3-8702-8639C6F7246F}" id="{B79DB5E4-B5CA-4403-A5A0-E1D6C15F25DA}">
    <xltc:text>يشمل القيمة المضافة قبل الخصم. المصدر: افتراض داخلي، باستثناء الضريبة الموثقة في ورقة المصادر.</xltc:text>
  </xltc:threadedComment>
  <xltc:threadedComment ref="B7" dT="2026-09-07T15:46:05.855" personId="{8B567A24-3E2B-41B3-8702-8639C6F7246F}" id="{67A8B8BD-3D68-4C36-8DCB-749E99700211}">
    <xltc:text>المصدر الرسمي: ZATCA؛ النموذج يفترض تكلفة صافية من المدخلات القابلة للاسترداد. المصدر: افتراض داخلي، باستثناء الضريبة الموثقة في ورقة المصادر.</xltc:text>
  </xltc:threadedComment>
  <xltc:threadedComment ref="B8" dT="2026-09-07T15:46:05.855" personId="{8B567A24-3E2B-41B3-8702-8639C6F7246F}" id="{D94B68BD-8CA3-4464-BBC5-CBC6B7F3A8EB}">
    <xltc:text>افتراض على كل الطلبات. المصدر: افتراض داخلي، باستثناء الضريبة الموثقة في ورقة المصادر.</xltc:text>
  </xltc:threadedComment>
  <xltc:threadedComment ref="B9" dT="2026-09-07T15:46:05.855" personId="{8B567A24-3E2B-41B3-8702-8639C6F7246F}" id="{E54928D5-1EC3-48C9-A5D7-756D22E8413B}">
    <xltc:text>خصم من الإيراد بعد التخفيض؛ لا يعاد المنتج للمخزون. المصدر: افتراض داخلي، باستثناء الضريبة الموثقة في ورقة المصادر.</xltc:text>
  </xltc:threadedComment>
  <xltc:threadedComment ref="B11" dT="2026-09-07T15:46:05.856" personId="{8B567A24-3E2B-41B3-8702-8639C6F7246F}" id="{D363F85B-38A6-436B-800C-58FB81C7A4A2}">
    <xltc:text>تجهيز الطلب، مستقل عن تصنيع العلبة. المصدر: افتراض داخلي، باستثناء الضريبة الموثقة في ورقة المصادر.</xltc:text>
  </xltc:threadedComment>
  <xltc:threadedComment ref="B12" dT="2026-09-07T15:46:05.856" personId="{8B567A24-3E2B-41B3-8702-8639C6F7246F}" id="{E269BEA0-35D2-4B7A-8F82-536EF3A508C6}">
    <xltc:text>تتحمله العلامة؛ لا إيراد شحن. المصدر: افتراض داخلي، باستثناء الضريبة الموثقة في ورقة المصادر.</xltc:text>
  </xltc:threadedComment>
  <xltc:threadedComment ref="B13" dT="2026-09-07T15:46:05.856" personId="{8B567A24-3E2B-41B3-8702-8639C6F7246F}" id="{A7F0077A-F08A-40EE-9303-2B1BE9559179}">
    <xltc:text>على المحصل بعد الخصم وقبل الاسترداد. المصدر: افتراض داخلي، باستثناء الضريبة الموثقة في ورقة المصادر.</xltc:text>
  </xltc:threadedComment>
  <xltc:threadedComment ref="B14" dT="2026-09-07T15:46:05.856" personId="{8B567A24-3E2B-41B3-8702-8639C6F7246F}" id="{CAD29107-1F5C-4AFF-B30D-B3946EC907D1}">
    <xltc:text>إضافة إلى النسبة. المصدر: افتراض داخلي، باستثناء الضريبة الموثقة في ورقة المصادر.</xltc:text>
  </xltc:threadedComment>
  <xltc:threadedComment ref="B15" dT="2026-09-07T15:46:05.857" personId="{8B567A24-3E2B-41B3-8702-8639C6F7246F}" id="{186082C8-91C5-4CA3-B333-2C5183499159}">
    <xltc:text>نقل ومعالجة إضافية؛ مستقل عن رد الإيراد. المصدر: افتراض داخلي، باستثناء الضريبة الموثقة في ورقة المصادر.</xltc:text>
  </xltc:threadedComment>
  <xltc:threadedComment ref="B16" dT="2026-09-07T15:46:05.857" personId="{8B567A24-3E2B-41B3-8702-8639C6F7246F}" id="{3C0113B5-25FA-4690-AE4F-AA7AAC869DB9}">
    <xltc:text>متوسط إنفاق على كل الطلبات، وليس تكلفة عميل جديد. المصدر: افتراض داخلي، باستثناء الضريبة الموثقة في ورقة المصادر.</xltc:text>
  </xltc:threadedComment>
  <xltc:threadedComment ref="B19" dT="2026-09-07T15:46:05.857" personId="{8B567A24-3E2B-41B3-8702-8639C6F7246F}" id="{20DD3FEC-8241-48CA-BC88-98948AF5F843}">
    <xltc:text>دفع بالكامل قبل الشهر الأول. المصدر: افتراض داخلي، باستثناء الضريبة الموثقة في ورقة المصادر.</xltc:text>
  </xltc:threadedComment>
  <xltc:threadedComment ref="B20" dT="2026-09-07T15:46:05.858" personId="{8B567A24-3E2B-41B3-8702-8639C6F7246F}" id="{27BCF902-C0D1-40B6-8EF8-4927EABFBFFF}">
    <xltc:text>لا استرداد داخل أفق السنة. المصدر: افتراض داخلي، باستثناء الضريبة الموثقة في ورقة المصادر.</xltc:text>
  </xltc:threadedComment>
  <xltc:threadedComment ref="B21" dT="2026-09-07T15:46:05.862" personId="{8B567A24-3E2B-41B3-8702-8639C6F7246F}" id="{404EF1FD-2EB9-4EE4-BEF5-3DC45451D69D}">
    <xltc:text>سيولة افتتاحية وليست مصروفًا. المصدر: افتراض داخلي، باستثناء الضريبة الموثقة في ورقة المصادر.</xltc:text>
  </xltc:threadedComment>
  <xltc:threadedComment ref="B22" dT="2026-09-07T15:46:05.862" personId="{8B567A24-3E2B-41B3-8702-8639C6F7246F}" id="{6D87C76E-347E-4AB9-9596-5389DF061A9D}">
    <xltc:text>خارج حركة النقد الأساسية؛ احتياطي تقديري يحتاج مراجعة. المصدر: افتراض داخلي، باستثناء الضريبة الموثقة في ورقة المصادر.</xltc:text>
  </xltc:threadedComment>
  <xltc:threadedComment ref="B23" dT="2026-09-07T15:46:05.864" personId="{8B567A24-3E2B-41B3-8702-8639C6F7246F}" id="{7C7A0B88-CF95-4AFF-BBC6-639ED76EEDB1}">
    <xltc:text>مرجع للتخطيط؛ عدل مواعيد وكميات الاستلام في الصف 52 يدويًا. المصدر: افتراض داخلي، باستثناء الضريبة الموثقة في ورقة المصادر.</xltc:text>
  </xltc:threadedComment>
  <xltc:threadedComment ref="B24" dT="2026-09-07T15:46:05.864" personId="{8B567A24-3E2B-41B3-8702-8639C6F7246F}" id="{1210B9BB-CBFD-4B7A-BBE2-0213E7D9C3FB}">
    <xltc:text>الدفعة المقدمة تسبق الاستلام بهذه المدة. المصدر: افتراض داخلي، باستثناء الضريبة الموثقة في ورقة المصادر.</xltc:text>
  </xltc:threadedComment>
  <xltc:threadedComment ref="B25" dT="2026-09-07T15:46:05.864" personId="{8B567A24-3E2B-41B3-8702-8639C6F7246F}" id="{D8915B6F-62FD-4326-9357-2773B2C3E2EF}">
    <xltc:text>الباقي عند استلام الدفعة. المصدر: افتراض داخلي، باستثناء الضريبة الموثقة في ورقة المصادر.</xltc:text>
  </xltc:threadedComment>
  <xltc:threadedComment ref="B26" dT="2026-09-07T15:46:05.865" personId="{8B567A24-3E2B-41B3-8702-8639C6F7246F}" id="{2BB568D3-5C80-4075-A67B-57E0579E2468}">
    <xltc:text>عتبة تنبيه، لا تولد أمر شراء آليًا. المصدر: افتراض داخلي، باستثناء الضريبة الموثقة في ورقة المصادر.</xltc:text>
  </xltc:threadedComment>
  <xltc:threadedComment ref="B27" dT="2026-09-07T15:46:05.865" personId="{8B567A24-3E2B-41B3-8702-8639C6F7246F}" id="{25A4A223-0134-4285-BED8-EE997CCD5CA2}">
    <xltc:text>افتراض لتقدير الزيارات، لم يختبر. المصدر: افتراض داخلي، باستثناء الضريبة الموثقة في ورقة المصادر.</xltc:text>
  </xltc:threadedComment>
  <xltc:threadedComment ref="B28" dT="2026-09-07T15:46:05.865" personId="{8B567A24-3E2B-41B3-8702-8639C6F7246F}" id="{743C893F-D553-42BE-BB3A-620C0F3416DA}">
    <xltc:text>افتراض نمو الطلبات. المصدر: افتراض داخلي، باستثناء الضريبة الموثقة في ورقة المصادر.</xltc:text>
  </xltc:threadedComment>
  <xltc:threadedComment ref="B29" dT="2026-09-07T15:46:05.865" personId="{8B567A24-3E2B-41B3-8702-8639C6F7246F}" id="{070E9F36-D3D5-4DC8-98AA-3C0FEB3280AF}">
    <xltc:text>افتراض نمو الطلبات. المصدر: افتراض داخلي، باستثناء الضريبة الموثقة في ورقة المصادر.</xltc:text>
  </xltc:threadedComment>
  <xltc:threadedComment ref="B30" dT="2026-09-07T15:46:05.865" personId="{8B567A24-3E2B-41B3-8702-8639C6F7246F}" id="{011430E9-5510-43B2-87CB-647D7BB37E3C}">
    <xltc:text>يطبق على تكلفة المنتج وحدها. المصدر: افتراض داخلي، باستثناء الضريبة الموثقة في ورقة المصادر.</xltc:text>
  </xltc:threadedComment>
  <xltc:threadedComment ref="B31" dT="2026-09-07T15:46:05.865" personId="{8B567A24-3E2B-41B3-8702-8639C6F7246F}" id="{FB1F16EF-3445-4111-8615-9E661BA39E52}">
    <xltc:text>زيادة الموارد التشغيلية. المصدر: افتراض داخلي، باستثناء الضريبة الموثقة في ورقة المصادر.</xltc:text>
  </xltc:threadedComment>
  <xltc:threadedComment ref="B32" dT="2026-09-07T15:46:05.866" personId="{8B567A24-3E2B-41B3-8702-8639C6F7246F}" id="{F023DE36-6CA0-4C9E-B189-D8B99261B585}">
    <xltc:text>ثابت في هذا الملف؛ الجداول مبنية على 12 شهرًا. المصدر: افتراض داخلي، باستثناء الضريبة الموثقة في ورقة المصادر.</xltc:text>
  </xltc:threadedComment>
  <xltc:threadedComment ref="B33" dT="2026-09-07T15:46:05.866" personId="{8B567A24-3E2B-41B3-8702-8639C6F7246F}" id="{C9A838CE-B85B-4A0D-B2A1-712C34DD06AF}">
    <xltc:text>فروق تقريبات الحسابات. المصدر: افتراض داخلي، باستثناء الضريبة الموثقة في ورقة المصادر.</xltc:text>
  </xltc:threadedComment>
</xltc:ThreadedComments>
</file>

<file path=xl/threadedcomments/threadedcomment2.xml><?xml version="1.0" encoding="utf-8"?>
<xltc:ThreadedComments xmlns:xltc="http://schemas.microsoft.com/office/spreadsheetml/2018/threadedcomments">
  <xltc:threadedComment ref="B6" dT="2026-09-07T15:46:05.835" personId="{8B567A24-3E2B-41B3-8702-8639C6F7246F}" id="{30DFB690-C441-4399-8D81-622F0E1A5DC8}">
    <xltc:text>افتراض داخلي للتخطيط، يحتاج عرض سعر أو عقد قبل الالتزام.</xltc:text>
  </xltc:threadedComment>
  <xltc:threadedComment ref="B7" dT="2026-09-07T15:46:05.837" personId="{8B567A24-3E2B-41B3-8702-8639C6F7246F}" id="{3EB6235B-BF23-4096-A6EE-64389DA842DD}">
    <xltc:text>افتراض داخلي للتخطيط، يحتاج عرض سعر أو عقد قبل الالتزام.</xltc:text>
  </xltc:threadedComment>
  <xltc:threadedComment ref="B8" dT="2026-09-07T15:46:05.837" personId="{8B567A24-3E2B-41B3-8702-8639C6F7246F}" id="{31687679-DF68-437E-8E40-441BC2A9D5F2}">
    <xltc:text>افتراض داخلي للتخطيط، يحتاج عرض سعر أو عقد قبل الالتزام.</xltc:text>
  </xltc:threadedComment>
  <xltc:threadedComment ref="B9" dT="2026-09-07T15:46:05.837" personId="{8B567A24-3E2B-41B3-8702-8639C6F7246F}" id="{083EDC52-7C0E-485A-B9C5-FD7C2F9D8228}">
    <xltc:text>رسوم طلب واحد وفئة واحدة: 1000 طلب + 500 نشر + 5000 تسجيل. المصدر: https://www.saip.gov.sa/ar/services/trademarks/trademark-registration — مراجعة 2026-09-07.</xltc:text>
  </xltc:threadedComment>
  <xltc:threadedComment ref="B10" dT="2026-09-07T15:46:05.839" personId="{8B567A24-3E2B-41B3-8702-8639C6F7246F}" id="{FABA5547-C860-4F01-95B5-A07B8E2FC8A3}">
    <xltc:text>افتراض داخلي للتخطيط، يحتاج عرض سعر أو عقد قبل الالتزام.</xltc:text>
  </xltc:threadedComment>
  <xltc:threadedComment ref="B11" dT="2026-09-07T15:46:05.839" personId="{8B567A24-3E2B-41B3-8702-8639C6F7246F}" id="{219F60E0-C0B1-446D-B460-457239E5DC80}">
    <xltc:text>افتراض داخلي للتخطيط، يحتاج عرض سعر أو عقد قبل الالتزام.</xltc:text>
  </xltc:threadedComment>
  <xltc:threadedComment ref="B12" dT="2026-09-07T15:46:05.839" personId="{8B567A24-3E2B-41B3-8702-8639C6F7246F}" id="{D0353587-0159-49B4-8FCB-8F333AA6ECB9}">
    <xltc:text>افتراض داخلي للتخطيط، يحتاج عرض سعر أو عقد قبل الالتزام.</xltc:text>
  </xltc:threadedComment>
  <xltc:threadedComment ref="B13" dT="2026-09-07T15:46:05.839" personId="{8B567A24-3E2B-41B3-8702-8639C6F7246F}" id="{122AB475-5BDB-4ACD-B7D8-A29DC0C6F195}">
    <xltc:text>افتراض داخلي للتخطيط، يحتاج عرض سعر أو عقد قبل الالتزام.</xltc:text>
  </xltc:threadedComment>
  <xltc:threadedComment ref="B17" dT="2026-09-07T15:46:05.845" personId="{8B567A24-3E2B-41B3-8702-8639C6F7246F}" id="{F15FAF76-ECC5-454B-8EBA-F5663F202EAD}">
    <xltc:text>افتراض داخلي للتخطيط، يحتاج عرض سعر أو عقد قبل الالتزام.</xltc:text>
  </xltc:threadedComment>
  <xltc:threadedComment ref="B18" dT="2026-09-07T15:46:05.845" personId="{8B567A24-3E2B-41B3-8702-8639C6F7246F}" id="{FD90E46C-69AE-4AED-A908-419CFE4F4B00}">
    <xltc:text>افتراض داخلي للتخطيط، يحتاج عرض سعر أو عقد قبل الالتزام.</xltc:text>
  </xltc:threadedComment>
  <xltc:threadedComment ref="B19" dT="2026-09-07T15:46:05.846" personId="{8B567A24-3E2B-41B3-8702-8639C6F7246F}" id="{E38C0F0A-8A50-4BD6-87BA-5F121932749D}">
    <xltc:text>افتراض داخلي للتخطيط، يحتاج عرض سعر أو عقد قبل الالتزام.</xltc:text>
  </xltc:threadedComment>
  <xltc:threadedComment ref="B20" dT="2026-09-07T15:46:05.846" personId="{8B567A24-3E2B-41B3-8702-8639C6F7246F}" id="{E662A456-AD4F-4795-B5A1-53210678EA1E}">
    <xltc:text>افتراض داخلي للتخطيط، يحتاج عرض سعر أو عقد قبل الالتزام.</xltc:text>
  </xltc:threadedComment>
  <xltc:threadedComment ref="B21" dT="2026-09-07T15:46:05.846" personId="{8B567A24-3E2B-41B3-8702-8639C6F7246F}" id="{037236AB-CA5A-4DB8-A92B-F1594B950916}">
    <xltc:text>افتراض داخلي للتخطيط، يحتاج عرض سعر أو عقد قبل الالتزام.</xltc:text>
  </xltc:threadedComment>
  <xltc:threadedComment ref="B22" dT="2026-09-07T15:46:05.847" personId="{8B567A24-3E2B-41B3-8702-8639C6F7246F}" id="{9AA009F6-9780-48D5-840D-2951624E0CE2}">
    <xltc:text>افتراض داخلي للتخطيط، يحتاج عرض سعر أو عقد قبل الالتزام.</xltc:text>
  </xltc:threadedComment>
  <xltc:threadedComment ref="B23" dT="2026-09-07T15:46:05.847" personId="{8B567A24-3E2B-41B3-8702-8639C6F7246F}" id="{2FBD45ED-4521-49D2-ABF8-1B191A10489A}">
    <xltc:text>افتراض داخلي للتخطيط، يحتاج عرض سعر أو عقد قبل الالتزام.</xltc:text>
  </xltc:threadedComment>
  <xltc:threadedComment ref="B24" dT="2026-09-07T15:46:05.847" personId="{8B567A24-3E2B-41B3-8702-8639C6F7246F}" id="{0A5CABF1-C4B5-4B76-84E2-44A90D636CB4}">
    <xltc:text>افتراض داخلي للتخطيط، يحتاج عرض سعر أو عقد قبل الالتزام.</xltc:text>
  </xltc:threadedComment>
  <xltc:threadedComment ref="B28" dT="2026-09-07T15:46:05.848" personId="{8B567A24-3E2B-41B3-8702-8639C6F7246F}" id="{48D833BE-9A45-4A26-B25B-2092AF5FF9EB}">
    <xltc:text>افتراض داخلي للتخطيط، يحتاج عرض سعر أو عقد قبل الالتزام.</xltc:text>
  </xltc:threadedComment>
  <xltc:threadedComment ref="B29" dT="2026-09-07T15:46:05.848" personId="{8B567A24-3E2B-41B3-8702-8639C6F7246F}" id="{4D75F3B6-C091-4799-9BF3-0C69FA74EFEB}">
    <xltc:text>افتراض داخلي للتخطيط، يحتاج عرض سعر أو عقد قبل الالتزام.</xltc:text>
  </xltc:threadedComment>
  <xltc:threadedComment ref="B30" dT="2026-09-07T15:46:05.848" personId="{8B567A24-3E2B-41B3-8702-8639C6F7246F}" id="{CC968290-EB75-4C4F-B1D7-28377D16FA93}">
    <xltc:text>افتراض داخلي للتخطيط، يحتاج عرض سعر أو عقد قبل الالتزام.</xltc:text>
  </xltc:threadedComment>
  <xltc:threadedComment ref="B31" dT="2026-09-07T15:46:05.849" personId="{8B567A24-3E2B-41B3-8702-8639C6F7246F}" id="{3B49C750-73B6-47FD-85B5-72851AF3D5AD}">
    <xltc:text>افتراض داخلي للتخطيط، يحتاج عرض سعر أو عقد قبل الالتزام.</xltc:text>
  </xltc:threadedComment>
  <xltc:threadedComment ref="B32" dT="2026-09-07T15:46:05.849" personId="{8B567A24-3E2B-41B3-8702-8639C6F7246F}" id="{DAF2D884-8D34-49BD-B82B-C8EFA15E0158}">
    <xltc:text>افتراض داخلي للتخطيط، يحتاج عرض سعر أو عقد قبل الالتزام.</xltc:text>
  </xltc:threadedComment>
  <xltc:threadedComment ref="B33" dT="2026-09-07T15:46:05.849" personId="{8B567A24-3E2B-41B3-8702-8639C6F7246F}" id="{D4B0DEBE-7A3C-4C23-A2E5-57A5D9A41FEE}">
    <xltc:text>افتراض داخلي للتخطيط، يحتاج عرض سعر أو عقد قبل الالتزام.</xltc:text>
  </xltc:threadedComment>
</xltc:ThreadedComments>
</file>

<file path=xl/threadedcomments/threadedcomment3.xml><?xml version="1.0" encoding="utf-8"?>
<xltc:ThreadedComments xmlns:xltc="http://schemas.microsoft.com/office/spreadsheetml/2018/threadedcomments">
  <xltc:threadedComment ref="B6" dT="2026-09-07T15:46:05.974" personId="{8B567A24-3E2B-41B3-8702-8639C6F7246F}" id="{8C87559C-1E03-40BA-BE7A-766488CB6D48}">
    <xltc:text>سيناريو افتراضي غير احتمالي؛ يعدل بالاختبار والعروض.</xltc:text>
  </xltc:threadedComment>
  <xltc:threadedComment ref="B7" dT="2026-09-07T15:46:05.975" personId="{8B567A24-3E2B-41B3-8702-8639C6F7246F}" id="{7A982B2A-1A39-4ADF-88F3-3E782089506C}">
    <xltc:text>سيناريو افتراضي غير احتمالي؛ يعدل بالاختبار والعروض.</xltc:text>
  </xltc:threadedComment>
  <xltc:threadedComment ref="B8" dT="2026-09-07T15:46:05.975" personId="{8B567A24-3E2B-41B3-8702-8639C6F7246F}" id="{2B679341-C5B2-4186-8C62-C1B1715FB2A4}">
    <xltc:text>سيناريو افتراضي غير احتمالي؛ يعدل بالاختبار والعروض.</xltc:text>
  </xltc:threadedComment>
  <xltc:threadedComment ref="B9" dT="2026-09-07T15:46:05.975" personId="{8B567A24-3E2B-41B3-8702-8639C6F7246F}" id="{B3AE2536-C42A-4206-B9AE-B84EC4B7B377}">
    <xltc:text>سيناريو افتراضي غير احتمالي؛ يعدل بالاختبار والعروض.</xltc:text>
  </xltc:threadedComment>
  <xltc:threadedComment ref="B10" dT="2026-09-07T15:46:05.975" personId="{8B567A24-3E2B-41B3-8702-8639C6F7246F}" id="{8C3CBF82-1C6D-422A-826B-CE038CCBF854}">
    <xltc:text>سيناريو افتراضي غير احتمالي؛ يعدل بالاختبار والعروض.</xltc:text>
  </xltc:threadedComment>
  <xltc:threadedComment ref="B11" dT="2026-09-07T15:46:05.975" personId="{8B567A24-3E2B-41B3-8702-8639C6F7246F}" id="{C1E1DFA7-B5C4-48FE-951E-31FA5F9E772A}">
    <xltc:text>سيناريو افتراضي غير احتمالي؛ يعدل بالاختبار والعروض.</xltc:text>
  </xltc:threadedComment>
  <xltc:threadedComment ref="B12" dT="2026-09-07T15:46:05.975" personId="{8B567A24-3E2B-41B3-8702-8639C6F7246F}" id="{F5B430D9-6333-44F9-83C4-DAE0065D5F40}">
    <xltc:text>سيناريو افتراضي غير احتمالي؛ يعدل بالاختبار والعروض.</xltc:text>
  </xltc:threadedComment>
  <xltc:threadedComment ref="B13" dT="2026-09-07T15:46:05.975" personId="{8B567A24-3E2B-41B3-8702-8639C6F7246F}" id="{75287C9D-F2C4-461E-9D4F-B6F4B3EC20F6}">
    <xltc:text>سيناريو افتراضي غير احتمالي؛ يعدل بالاختبار والعروض.</xltc:text>
  </xltc:threadedComment>
  <xltc:threadedComment ref="B14" dT="2026-09-07T15:46:05.975" personId="{8B567A24-3E2B-41B3-8702-8639C6F7246F}" id="{E023C86F-D8CF-4B51-A13A-7B2BB3D4819F}">
    <xltc:text>سيناريو افتراضي غير احتمالي؛ يعدل بالاختبار والعروض.</xltc:text>
  </xltc:threadedComment>
  <xltc:threadedComment ref="B15" dT="2026-09-07T15:46:05.975" personId="{8B567A24-3E2B-41B3-8702-8639C6F7246F}" id="{4278C17E-772A-4A63-BA0F-C483CAF061B9}">
    <xltc:text>سيناريو افتراضي غير احتمالي؛ يعدل بالاختبار والعروض.</xltc:text>
  </xltc:threadedComment>
  <xltc:threadedComment ref="B16" dT="2026-09-07T15:46:05.976" personId="{8B567A24-3E2B-41B3-8702-8639C6F7246F}" id="{18F548BB-AEA7-4424-B7DB-3946C6BD6DEC}">
    <xltc:text>سيناريو افتراضي غير احتمالي؛ يعدل بالاختبار والعروض.</xltc:text>
  </xltc:threadedComment>
  <xltc:threadedComment ref="B17" dT="2026-09-07T15:46:05.976" personId="{8B567A24-3E2B-41B3-8702-8639C6F7246F}" id="{26B64DD2-A62D-49B8-A328-B646467A2509}">
    <xltc:text>سيناريو افتراضي غير احتمالي؛ يعدل بالاختبار والعروض.</xltc:text>
  </xltc:threadedComment>
  <xltc:threadedComment ref="D6" dT="2026-09-07T15:46:05.981" personId="{8B567A24-3E2B-41B3-8702-8639C6F7246F}" id="{277AF1C9-1504-41F3-AF34-5C068E3B3765}">
    <xltc:text>سيناريو افتراضي غير احتمالي؛ يعدل بالاختبار والعروض.</xltc:text>
  </xltc:threadedComment>
  <xltc:threadedComment ref="D7" dT="2026-09-07T15:46:05.981" personId="{8B567A24-3E2B-41B3-8702-8639C6F7246F}" id="{00138201-D878-4AB0-86AD-902696732D3C}">
    <xltc:text>سيناريو افتراضي غير احتمالي؛ يعدل بالاختبار والعروض.</xltc:text>
  </xltc:threadedComment>
  <xltc:threadedComment ref="D8" dT="2026-09-07T15:46:05.981" personId="{8B567A24-3E2B-41B3-8702-8639C6F7246F}" id="{BB114C9D-D509-4ED6-B0D7-B4E6B724C2D8}">
    <xltc:text>سيناريو افتراضي غير احتمالي؛ يعدل بالاختبار والعروض.</xltc:text>
  </xltc:threadedComment>
  <xltc:threadedComment ref="D9" dT="2026-09-07T15:46:05.982" personId="{8B567A24-3E2B-41B3-8702-8639C6F7246F}" id="{089588E6-E4C7-48F3-A730-A6B0C0FD8809}">
    <xltc:text>سيناريو افتراضي غير احتمالي؛ يعدل بالاختبار والعروض.</xltc:text>
  </xltc:threadedComment>
  <xltc:threadedComment ref="D10" dT="2026-09-07T15:46:05.982" personId="{8B567A24-3E2B-41B3-8702-8639C6F7246F}" id="{2961E1C9-403F-4F8E-8950-651A2F5E4CD0}">
    <xltc:text>سيناريو افتراضي غير احتمالي؛ يعدل بالاختبار والعروض.</xltc:text>
  </xltc:threadedComment>
  <xltc:threadedComment ref="D11" dT="2026-09-07T15:46:05.982" personId="{8B567A24-3E2B-41B3-8702-8639C6F7246F}" id="{280C7EA2-A64A-4ED8-8E77-657557F33EFF}">
    <xltc:text>سيناريو افتراضي غير احتمالي؛ يعدل بالاختبار والعروض.</xltc:text>
  </xltc:threadedComment>
  <xltc:threadedComment ref="D12" dT="2026-09-07T15:46:05.982" personId="{8B567A24-3E2B-41B3-8702-8639C6F7246F}" id="{8FE32204-0496-4230-A72C-2F0103E2ADAB}">
    <xltc:text>سيناريو افتراضي غير احتمالي؛ يعدل بالاختبار والعروض.</xltc:text>
  </xltc:threadedComment>
  <xltc:threadedComment ref="D13" dT="2026-09-07T15:46:05.982" personId="{8B567A24-3E2B-41B3-8702-8639C6F7246F}" id="{C4C3789B-9AEC-4878-8714-F6B591C38EFC}">
    <xltc:text>سيناريو افتراضي غير احتمالي؛ يعدل بالاختبار والعروض.</xltc:text>
  </xltc:threadedComment>
  <xltc:threadedComment ref="D14" dT="2026-09-07T15:46:05.982" personId="{8B567A24-3E2B-41B3-8702-8639C6F7246F}" id="{B6869116-7B0D-48A6-A8E5-05F314B91FAE}">
    <xltc:text>سيناريو افتراضي غير احتمالي؛ يعدل بالاختبار والعروض.</xltc:text>
  </xltc:threadedComment>
  <xltc:threadedComment ref="D15" dT="2026-09-07T15:46:05.983" personId="{8B567A24-3E2B-41B3-8702-8639C6F7246F}" id="{16A0BBEA-A5E6-468F-891F-9924F6EEE5CB}">
    <xltc:text>سيناريو افتراضي غير احتمالي؛ يعدل بالاختبار والعروض.</xltc:text>
  </xltc:threadedComment>
  <xltc:threadedComment ref="D16" dT="2026-09-07T15:46:05.983" personId="{8B567A24-3E2B-41B3-8702-8639C6F7246F}" id="{CFD57B24-D902-4351-B735-5C8F57A9A13F}">
    <xltc:text>سيناريو افتراضي غير احتمالي؛ يعدل بالاختبار والعروض.</xltc:text>
  </xltc:threadedComment>
  <xltc:threadedComment ref="D17" dT="2026-09-07T15:46:05.983" personId="{8B567A24-3E2B-41B3-8702-8639C6F7246F}" id="{27B98C31-A0C0-4FC4-9D9F-62C27A572372}">
    <xltc:text>سيناريو افتراضي غير احتمالي؛ يعدل بالاختبار والعروض.</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bd681269b8424efa" /><Relationship Type="http://schemas.openxmlformats.org/officeDocument/2006/relationships/vmlDrawing" Target="/xl/drawings/vmldrawing.vml" Id="R832059e86e2b4571" /><Relationship Type="http://schemas.microsoft.com/office/2017/10/relationships/threadedComment" Target="/xl/threadedcomments/threadedcomment.xml" Id="R2148abe5bfcd4daf" /></Relationships>
</file>

<file path=xl/worksheets/_rels/sheet3.xml.rels>&#65279;<?xml version="1.0" encoding="utf-8"?><Relationships xmlns="http://schemas.openxmlformats.org/package/2006/relationships"><Relationship Type="http://schemas.openxmlformats.org/officeDocument/2006/relationships/comments" Target="/xl/comments2.xml" Id="R9b196fc1b74a4518" /><Relationship Type="http://schemas.openxmlformats.org/officeDocument/2006/relationships/vmlDrawing" Target="/xl/drawings/vmldrawing2.vml" Id="Rb9d282fb7dac44ea" /><Relationship Type="http://schemas.microsoft.com/office/2017/10/relationships/threadedComment" Target="/xl/threadedcomments/threadedcomment2.xml" Id="R5b5a5f07f92f482b" /></Relationships>
</file>

<file path=xl/worksheets/_rels/sheet5.xml.rels>&#65279;<?xml version="1.0" encoding="utf-8"?><Relationships xmlns="http://schemas.openxmlformats.org/package/2006/relationships"><Relationship Type="http://schemas.openxmlformats.org/officeDocument/2006/relationships/comments" Target="/xl/comments3.xml" Id="Rdb680d8ab6994a58" /><Relationship Type="http://schemas.openxmlformats.org/officeDocument/2006/relationships/vmlDrawing" Target="/xl/drawings/vmldrawing3.vml" Id="Rd5972e75d21c4ab9" /><Relationship Type="http://schemas.microsoft.com/office/2017/10/relationships/threadedComment" Target="/xl/threadedcomments/threadedcomment3.xml" Id="Rfc310d4630034c36" /></Relationships>
</file>

<file path=xl/worksheets/sheet1.xml><?xml version="1.0" encoding="utf-8"?>
<x:worksheet xmlns:x="http://schemas.openxmlformats.org/spreadsheetml/2006/main">
  <x:sheetViews>
    <x:sheetView showGridLines="0" workbookViewId="0"/>
  </x:sheetViews>
  <x:sheetFormatPr defaultRowHeight="15"/>
  <x:cols>
    <x:col min="1" max="1" width="33.33000183105469" hidden="0" customWidth="1"/>
    <x:col min="2" max="2" width="19.440000534057617" hidden="0" customWidth="1"/>
    <x:col min="3" max="3" width="19.440000534057617" hidden="0" customWidth="1"/>
    <x:col min="4" max="4" width="19.440000534057617" hidden="0" customWidth="1"/>
  </x:cols>
  <x:sheetData>
    <x:row r="1" ht="30" customHeight="1">
      <x:c r="A1" s="6" t="str">
        <x:v>AEVU | إيڤو — ملخص</x:v>
      </x:c>
      <x:c r="B1" s="6"/>
      <x:c r="C1" s="6"/>
      <x:c r="D1" s="6"/>
      <x:c r="E1" s="3"/>
      <x:c r="F1" s="3"/>
      <x:c r="G1" s="3"/>
      <x:c r="H1" s="3"/>
      <x:c r="I1" s="3"/>
      <x:c r="J1" s="3"/>
      <x:c r="K1" s="3"/>
      <x:c r="L1" s="3"/>
      <x:c r="M1" s="3"/>
    </x:row>
    <x:row r="2" ht="25" customHeight="1">
      <x:c r="A2" s="8" t="str">
        <x:v>دراسة تصورية • 7 سبتمبر 2026 • ريال سعودي • المدخلات باللون الأزرق، المعادلات بالأسود، وروابط الأوراق بالأخضر.</x:v>
      </x:c>
      <x:c r="B2" s="8"/>
      <x:c r="C2" s="8"/>
      <x:c r="D2" s="8"/>
      <x:c r="E2" s="3"/>
      <x:c r="F2" s="3"/>
      <x:c r="G2" s="3"/>
      <x:c r="H2" s="3"/>
      <x:c r="I2" s="3"/>
      <x:c r="J2" s="3"/>
      <x:c r="K2" s="3"/>
      <x:c r="L2" s="3"/>
      <x:c r="M2" s="3"/>
    </x:row>
    <x:row r="3" ht="25" customHeight="1">
      <x:c r="A3" s="8"/>
      <x:c r="B3" s="8"/>
      <x:c r="C3" s="8"/>
      <x:c r="D3" s="8"/>
      <x:c r="E3" s="3"/>
      <x:c r="F3" s="3"/>
      <x:c r="G3" s="3"/>
      <x:c r="H3" s="3"/>
      <x:c r="I3" s="3"/>
      <x:c r="J3" s="3"/>
      <x:c r="K3" s="3"/>
      <x:c r="L3" s="3"/>
      <x:c r="M3" s="3"/>
    </x:row>
    <x:row r="4" ht="25" customHeight="1">
      <x:c r="A4" s="3"/>
      <x:c r="B4" s="3"/>
      <x:c r="C4" s="3"/>
      <x:c r="D4" s="3"/>
      <x:c r="E4" s="3"/>
      <x:c r="F4" s="3"/>
      <x:c r="G4" s="3"/>
      <x:c r="H4" s="3"/>
      <x:c r="I4" s="3"/>
      <x:c r="J4" s="3"/>
      <x:c r="K4" s="3"/>
      <x:c r="L4" s="3"/>
      <x:c r="M4" s="3"/>
    </x:row>
    <x:row r="5" ht="30" customHeight="1">
      <x:c r="A5" s="6" t="str">
        <x:v>قرار أولي: اختبار محدود قبل التوسع</x:v>
      </x:c>
      <x:c r="B5" s="6"/>
      <x:c r="C5" s="6"/>
      <x:c r="D5" s="6"/>
      <x:c r="E5" s="3"/>
      <x:c r="F5" s="3"/>
      <x:c r="G5" s="3"/>
      <x:c r="H5" s="3"/>
      <x:c r="I5" s="3"/>
      <x:c r="J5" s="3"/>
      <x:c r="K5" s="3"/>
      <x:c r="L5" s="3"/>
      <x:c r="M5" s="3"/>
    </x:row>
    <x:row r="6" ht="25" customHeight="1">
      <x:c r="A6" s="3"/>
      <x:c r="B6" s="4"/>
      <x:c r="C6" s="4"/>
      <x:c r="D6" s="4"/>
      <x:c r="E6" s="4"/>
      <x:c r="F6" s="4"/>
      <x:c r="G6" s="4"/>
      <x:c r="H6" s="4"/>
      <x:c r="I6" s="4"/>
      <x:c r="J6" s="4"/>
      <x:c r="K6" s="4"/>
      <x:c r="L6" s="4"/>
      <x:c r="M6" s="4"/>
    </x:row>
    <x:row r="7" ht="34" customHeight="1">
      <x:c r="A7" s="3" t="str">
        <x:v>طلبات السنة</x:v>
      </x:c>
      <x:c r="B7" s="26" t="n">
        <x:f>SUM('شهري'!B6:M6)</x:f>
        <x:v>3650</x:v>
      </x:c>
      <x:c r="C7" s="4"/>
      <x:c r="D7" s="4"/>
      <x:c r="E7" s="4"/>
      <x:c r="F7" s="4"/>
      <x:c r="G7" s="4"/>
      <x:c r="H7" s="4"/>
      <x:c r="I7" s="4"/>
      <x:c r="J7" s="4"/>
      <x:c r="K7" s="4"/>
      <x:c r="L7" s="4"/>
      <x:c r="M7" s="4"/>
    </x:row>
    <x:row r="8" ht="34" customHeight="1">
      <x:c r="A8" s="3" t="str">
        <x:v>إيرادات صافية — ر.س</x:v>
      </x:c>
      <x:c r="B8" s="26" t="n">
        <x:f>SUM('شهري'!B9:M9)</x:f>
        <x:v>712538.3999999999</x:v>
      </x:c>
      <x:c r="C8" s="4"/>
      <x:c r="D8" s="4"/>
      <x:c r="E8" s="4"/>
      <x:c r="F8" s="4"/>
      <x:c r="G8" s="4"/>
      <x:c r="H8" s="4"/>
      <x:c r="I8" s="4"/>
      <x:c r="J8" s="4"/>
      <x:c r="K8" s="4"/>
      <x:c r="L8" s="4"/>
      <x:c r="M8" s="4"/>
    </x:row>
    <x:row r="9" ht="34" customHeight="1">
      <x:c r="A9" s="3" t="str">
        <x:v>فائض تشغيل السنة — ر.س</x:v>
      </x:c>
      <x:c r="B9" s="26" t="n">
        <x:f>SUM('شهري'!B19:M19)</x:f>
        <x:v>24359.85000000012</x:v>
      </x:c>
      <x:c r="C9" s="4"/>
      <x:c r="D9" s="4"/>
      <x:c r="E9" s="4"/>
      <x:c r="F9" s="4"/>
      <x:c r="G9" s="4"/>
      <x:c r="H9" s="4"/>
      <x:c r="I9" s="4"/>
      <x:c r="J9" s="4"/>
      <x:c r="K9" s="4"/>
      <x:c r="L9" s="4"/>
      <x:c r="M9" s="4"/>
    </x:row>
    <x:row r="10" ht="34" customHeight="1">
      <x:c r="A10" s="3" t="str">
        <x:v>تمويل البداية الأساسي — ر.س</x:v>
      </x:c>
      <x:c r="B10" s="26" t="n">
        <x:f>'الافتراضات'!B43</x:f>
        <x:v>200000</x:v>
      </x:c>
      <x:c r="C10" s="4"/>
      <x:c r="D10" s="4"/>
      <x:c r="E10" s="4"/>
      <x:c r="F10" s="4"/>
      <x:c r="G10" s="4"/>
      <x:c r="H10" s="4"/>
      <x:c r="I10" s="4"/>
      <x:c r="J10" s="4"/>
      <x:c r="K10" s="4"/>
      <x:c r="L10" s="4"/>
      <x:c r="M10" s="4"/>
    </x:row>
    <x:row r="11" ht="34" customHeight="1">
      <x:c r="A11" s="3" t="str">
        <x:v>التمويل مع هامش الضريبة — ر.س</x:v>
      </x:c>
      <x:c r="B11" s="26" t="n">
        <x:f>'الافتراضات'!B45</x:f>
        <x:v>210000</x:v>
      </x:c>
      <x:c r="C11" s="4"/>
      <x:c r="D11" s="4"/>
      <x:c r="E11" s="4"/>
      <x:c r="F11" s="4"/>
      <x:c r="G11" s="4"/>
      <x:c r="H11" s="4"/>
      <x:c r="I11" s="4"/>
      <x:c r="J11" s="4"/>
      <x:c r="K11" s="4"/>
      <x:c r="L11" s="4"/>
      <x:c r="M11" s="4"/>
    </x:row>
    <x:row r="12" ht="34" customHeight="1">
      <x:c r="A12" s="3" t="str">
        <x:v>التعادل — طلبات شهريًا</x:v>
      </x:c>
      <x:c r="B12" s="26" t="n">
        <x:f>'الافتراضات'!B42</x:f>
        <x:v>268</x:v>
      </x:c>
      <x:c r="C12" s="4"/>
      <x:c r="D12" s="4"/>
      <x:c r="E12" s="4"/>
      <x:c r="F12" s="4"/>
      <x:c r="G12" s="4"/>
      <x:c r="H12" s="4"/>
      <x:c r="I12" s="4"/>
      <x:c r="J12" s="4"/>
      <x:c r="K12" s="4"/>
      <x:c r="L12" s="4"/>
      <x:c r="M12" s="4"/>
    </x:row>
    <x:row r="13" ht="34" customHeight="1">
      <x:c r="A13" s="3" t="str">
        <x:v>نقد نهاية السنة — ر.س</x:v>
      </x:c>
      <x:c r="B13" s="26" t="n">
        <x:f>'شهري'!M30</x:f>
        <x:v>124659.85000000012</x:v>
      </x:c>
      <x:c r="C13" s="4"/>
      <x:c r="D13" s="4"/>
      <x:c r="E13" s="4"/>
      <x:c r="F13" s="4"/>
      <x:c r="G13" s="4"/>
      <x:c r="H13" s="4"/>
      <x:c r="I13" s="4"/>
      <x:c r="J13" s="4"/>
      <x:c r="K13" s="4"/>
      <x:c r="L13" s="4"/>
      <x:c r="M13" s="4"/>
    </x:row>
    <x:row r="14" ht="34" customHeight="1">
      <x:c r="A14" s="3" t="str">
        <x:v>أقل رصيد نهاية شهر — ر.س</x:v>
      </x:c>
      <x:c r="B14" s="26" t="n">
        <x:f>MIN('الافتراضات'!B44,'شهري'!B30:M30)</x:f>
        <x:v>31581.30000000006</x:v>
      </x:c>
      <x:c r="C14" s="4"/>
      <x:c r="D14" s="4"/>
      <x:c r="E14" s="4"/>
      <x:c r="F14" s="4"/>
      <x:c r="G14" s="4"/>
      <x:c r="H14" s="4"/>
      <x:c r="I14" s="4"/>
      <x:c r="J14" s="4"/>
      <x:c r="K14" s="4"/>
      <x:c r="L14" s="4"/>
      <x:c r="M14" s="4"/>
    </x:row>
    <x:row r="15" ht="34" customHeight="1">
      <x:c r="A15" s="3" t="str">
        <x:v>مخزون نهاية السنة — عبوة</x:v>
      </x:c>
      <x:c r="B15" s="26" t="n">
        <x:f>'شهري'!M24</x:f>
        <x:v>350</x:v>
      </x:c>
      <x:c r="C15" s="4"/>
      <x:c r="D15" s="4"/>
      <x:c r="E15" s="4"/>
      <x:c r="F15" s="4"/>
      <x:c r="G15" s="4"/>
      <x:c r="H15" s="4"/>
      <x:c r="I15" s="4"/>
      <x:c r="J15" s="4"/>
      <x:c r="K15" s="4"/>
      <x:c r="L15" s="4"/>
      <x:c r="M15" s="4"/>
    </x:row>
    <x:row r="16" ht="34" customHeight="1">
      <x:c r="A16" s="3" t="str">
        <x:v>هامش المساهمة</x:v>
      </x:c>
      <x:c r="B16" s="35" t="n">
        <x:f>'الافتراضات'!B41</x:f>
        <x:v>0.2868053848045242</x:v>
      </x:c>
      <x:c r="C16" s="4"/>
      <x:c r="D16" s="4"/>
      <x:c r="E16" s="4"/>
      <x:c r="F16" s="4"/>
      <x:c r="G16" s="4"/>
      <x:c r="H16" s="4"/>
      <x:c r="I16" s="4"/>
      <x:c r="J16" s="4"/>
      <x:c r="K16" s="4"/>
      <x:c r="L16" s="4"/>
      <x:c r="M16" s="4"/>
    </x:row>
    <x:row r="17" ht="34" customHeight="1">
      <x:c r="A17" s="3" t="str">
        <x:v>زيارات سنوية عند التحويل المستهدف</x:v>
      </x:c>
      <x:c r="B17" s="26" t="n">
        <x:f>ROUNDUP(B7/'الافتراضات'!B27,0)</x:f>
        <x:v>182500</x:v>
      </x:c>
      <x:c r="C17" s="4"/>
      <x:c r="D17" s="4"/>
      <x:c r="E17" s="4"/>
      <x:c r="F17" s="4"/>
      <x:c r="G17" s="4"/>
      <x:c r="H17" s="4"/>
      <x:c r="I17" s="4"/>
      <x:c r="J17" s="4"/>
      <x:c r="K17" s="4"/>
      <x:c r="L17" s="4"/>
      <x:c r="M17" s="4"/>
    </x:row>
    <x:row r="18" ht="25" customHeight="1">
      <x:c r="A18" s="3"/>
      <x:c r="B18" s="4"/>
      <x:c r="C18" s="4"/>
      <x:c r="D18" s="4"/>
      <x:c r="E18" s="4"/>
      <x:c r="F18" s="4"/>
      <x:c r="G18" s="4"/>
      <x:c r="H18" s="4"/>
      <x:c r="I18" s="4"/>
      <x:c r="J18" s="4"/>
      <x:c r="K18" s="4"/>
      <x:c r="L18" s="4"/>
      <x:c r="M18" s="4"/>
    </x:row>
    <x:row r="19" ht="25" customHeight="1">
      <x:c r="A19" s="3"/>
      <x:c r="B19" s="4"/>
      <x:c r="C19" s="4"/>
      <x:c r="D19" s="4"/>
      <x:c r="E19" s="4"/>
      <x:c r="F19" s="4"/>
      <x:c r="G19" s="4"/>
      <x:c r="H19" s="4"/>
      <x:c r="I19" s="4"/>
      <x:c r="J19" s="4"/>
      <x:c r="K19" s="4"/>
      <x:c r="L19" s="4"/>
      <x:c r="M19" s="4"/>
    </x:row>
    <x:row r="20" ht="25" customHeight="1">
      <x:c r="A20" s="16" t="str">
        <x:v>طريقة الاستخدام: ابدأ بالتكاليف ثم الافتراضات. عدل الخلايا الزرقاء فقط، وراجع جدول الطلبات والاستلام معًا. راجع فحوص المخزون والسيولة في الورقة الأخيرة. السيناريو الأساسي تقدير مشروط، وليس مبيعات فعلية أو عرض سعر أو ضمان عائد.</x:v>
      </x:c>
      <x:c r="B20" s="17"/>
      <x:c r="C20" s="17"/>
      <x:c r="D20" s="17"/>
      <x:c r="E20" s="4"/>
      <x:c r="F20" s="4"/>
      <x:c r="G20" s="4"/>
      <x:c r="H20" s="4"/>
      <x:c r="I20" s="4"/>
      <x:c r="J20" s="4"/>
      <x:c r="K20" s="4"/>
      <x:c r="L20" s="4"/>
      <x:c r="M20" s="4"/>
    </x:row>
    <x:row r="21" ht="25" customHeight="1">
      <x:c r="A21" s="16"/>
      <x:c r="B21" s="17"/>
      <x:c r="C21" s="17"/>
      <x:c r="D21" s="17"/>
      <x:c r="E21" s="4"/>
      <x:c r="F21" s="4"/>
      <x:c r="G21" s="4"/>
      <x:c r="H21" s="4"/>
      <x:c r="I21" s="4"/>
      <x:c r="J21" s="4"/>
      <x:c r="K21" s="4"/>
      <x:c r="L21" s="4"/>
      <x:c r="M21" s="4"/>
    </x:row>
    <x:row r="22" ht="25" customHeight="1">
      <x:c r="A22" s="16"/>
      <x:c r="B22" s="17"/>
      <x:c r="C22" s="17"/>
      <x:c r="D22" s="17"/>
      <x:c r="E22" s="4"/>
      <x:c r="F22" s="4"/>
      <x:c r="G22" s="4"/>
      <x:c r="H22" s="4"/>
      <x:c r="I22" s="4"/>
      <x:c r="J22" s="4"/>
      <x:c r="K22" s="4"/>
      <x:c r="L22" s="4"/>
      <x:c r="M22" s="4"/>
    </x:row>
    <x:row r="23" ht="25" customHeight="1">
      <x:c r="A23" s="16"/>
      <x:c r="B23" s="17"/>
      <x:c r="C23" s="17"/>
      <x:c r="D23" s="17"/>
      <x:c r="E23" s="4"/>
      <x:c r="F23" s="4"/>
      <x:c r="G23" s="4"/>
      <x:c r="H23" s="4"/>
      <x:c r="I23" s="4"/>
      <x:c r="J23" s="4"/>
      <x:c r="K23" s="4"/>
      <x:c r="L23" s="4"/>
      <x:c r="M23" s="4"/>
    </x:row>
    <x:row r="24" ht="25" customHeight="1">
      <x:c r="A24" s="16"/>
      <x:c r="B24" s="17"/>
      <x:c r="C24" s="17"/>
      <x:c r="D24" s="17"/>
      <x:c r="E24" s="4"/>
      <x:c r="F24" s="4"/>
      <x:c r="G24" s="4"/>
      <x:c r="H24" s="4"/>
      <x:c r="I24" s="4"/>
      <x:c r="J24" s="4"/>
      <x:c r="K24" s="4"/>
      <x:c r="L24" s="4"/>
      <x:c r="M24" s="4"/>
    </x:row>
    <x:row r="25" ht="25" customHeight="1">
      <x:c r="A25" s="3"/>
      <x:c r="B25" s="4"/>
      <x:c r="C25" s="4"/>
      <x:c r="D25" s="4"/>
      <x:c r="E25" s="4"/>
      <x:c r="F25" s="4"/>
      <x:c r="G25" s="4"/>
      <x:c r="H25" s="4"/>
      <x:c r="I25" s="4"/>
      <x:c r="J25" s="4"/>
      <x:c r="K25" s="4"/>
      <x:c r="L25" s="4"/>
      <x:c r="M25" s="4"/>
    </x:row>
    <x:row r="26" ht="25" customHeight="1">
      <x:c r="A26" s="16" t="str">
        <x:v>النطاق: متجر سعودي، عطر واحد 50 مل، عبوة واحدة لكل طلب، تصنيع تعاقدي. السعر 249 ريال شامل الضريبة قبل الخصم. لا تشمل الدراسة متجرًا فعليًا أو مصنعًا مملوكًا أو قالب زجاج حصريًا. الصور توليد تصوري بالذكاء الاصطناعي.</x:v>
      </x:c>
      <x:c r="B26" s="17"/>
      <x:c r="C26" s="17"/>
      <x:c r="D26" s="17"/>
      <x:c r="E26" s="4"/>
      <x:c r="F26" s="4"/>
      <x:c r="G26" s="4"/>
      <x:c r="H26" s="4"/>
      <x:c r="I26" s="4"/>
      <x:c r="J26" s="4"/>
      <x:c r="K26" s="4"/>
      <x:c r="L26" s="4"/>
      <x:c r="M26" s="4"/>
    </x:row>
    <x:row r="27" ht="25" customHeight="1">
      <x:c r="A27" s="16"/>
      <x:c r="B27" s="17"/>
      <x:c r="C27" s="17"/>
      <x:c r="D27" s="17"/>
      <x:c r="E27" s="4"/>
      <x:c r="F27" s="4"/>
      <x:c r="G27" s="4"/>
      <x:c r="H27" s="4"/>
      <x:c r="I27" s="4"/>
      <x:c r="J27" s="4"/>
      <x:c r="K27" s="4"/>
      <x:c r="L27" s="4"/>
      <x:c r="M27" s="4"/>
    </x:row>
    <x:row r="28" ht="25" customHeight="1">
      <x:c r="A28" s="16"/>
      <x:c r="B28" s="17"/>
      <x:c r="C28" s="17"/>
      <x:c r="D28" s="17"/>
      <x:c r="E28" s="4"/>
      <x:c r="F28" s="4"/>
      <x:c r="G28" s="4"/>
      <x:c r="H28" s="4"/>
      <x:c r="I28" s="4"/>
      <x:c r="J28" s="4"/>
      <x:c r="K28" s="4"/>
      <x:c r="L28" s="4"/>
      <x:c r="M28" s="4"/>
    </x:row>
    <x:row r="29" ht="25" customHeight="1">
      <x:c r="A29" s="16"/>
      <x:c r="B29" s="17"/>
      <x:c r="C29" s="17"/>
      <x:c r="D29" s="17"/>
      <x:c r="E29" s="4"/>
      <x:c r="F29" s="4"/>
      <x:c r="G29" s="4"/>
      <x:c r="H29" s="4"/>
      <x:c r="I29" s="4"/>
      <x:c r="J29" s="4"/>
      <x:c r="K29" s="4"/>
      <x:c r="L29" s="4"/>
      <x:c r="M29" s="4"/>
    </x:row>
    <x:row r="30" ht="25" customHeight="1">
      <x:c r="A30" s="3"/>
      <x:c r="B30" s="4"/>
      <x:c r="C30" s="4"/>
      <x:c r="D30" s="4"/>
      <x:c r="E30" s="4"/>
      <x:c r="F30" s="4"/>
      <x:c r="G30" s="4"/>
      <x:c r="H30" s="4"/>
      <x:c r="I30" s="4"/>
      <x:c r="J30" s="4"/>
      <x:c r="K30" s="4"/>
      <x:c r="L30" s="4"/>
      <x:c r="M30" s="4"/>
    </x:row>
    <x:row r="31" ht="25" customHeight="1">
      <x:c r="A31" s="16" t="str">
        <x:v>الفائض قبل الإهلاك والتمويل والزكاة/ضريبة الدخل، وبعد أجر المؤسس والتسويق المفترض. السنة الأولى تتحمل تكاليف تأسيس منفصلة. الحاسبة المنشورة تفترض تجديد المخزون شهريًا؛ ورقة «شهري» تتبع دفعات المورد، لذلك يختلف رصيد النقد مع تطابق الربحية.</x:v>
      </x:c>
      <x:c r="B31" s="17"/>
      <x:c r="C31" s="17"/>
      <x:c r="D31" s="17"/>
      <x:c r="E31" s="4"/>
      <x:c r="F31" s="4"/>
      <x:c r="G31" s="4"/>
      <x:c r="H31" s="4"/>
      <x:c r="I31" s="4"/>
      <x:c r="J31" s="4"/>
      <x:c r="K31" s="4"/>
      <x:c r="L31" s="4"/>
      <x:c r="M31" s="4"/>
    </x:row>
    <x:row r="32" ht="25" customHeight="1">
      <x:c r="A32" s="16"/>
      <x:c r="B32" s="17"/>
      <x:c r="C32" s="17"/>
      <x:c r="D32" s="17"/>
      <x:c r="E32" s="4"/>
      <x:c r="F32" s="4"/>
      <x:c r="G32" s="4"/>
      <x:c r="H32" s="4"/>
      <x:c r="I32" s="4"/>
      <x:c r="J32" s="4"/>
      <x:c r="K32" s="4"/>
      <x:c r="L32" s="4"/>
      <x:c r="M32" s="4"/>
    </x:row>
    <x:row r="33" ht="25" customHeight="1">
      <x:c r="A33" s="16"/>
      <x:c r="B33" s="17"/>
      <x:c r="C33" s="17"/>
      <x:c r="D33" s="17"/>
      <x:c r="E33" s="4"/>
      <x:c r="F33" s="4"/>
      <x:c r="G33" s="4"/>
      <x:c r="H33" s="4"/>
      <x:c r="I33" s="4"/>
      <x:c r="J33" s="4"/>
      <x:c r="K33" s="4"/>
      <x:c r="L33" s="4"/>
      <x:c r="M33" s="4"/>
    </x:row>
    <x:row r="34" ht="25" customHeight="1">
      <x:c r="A34" s="16"/>
      <x:c r="B34" s="17"/>
      <x:c r="C34" s="17"/>
      <x:c r="D34" s="17"/>
      <x:c r="E34" s="4"/>
      <x:c r="F34" s="4"/>
      <x:c r="G34" s="4"/>
      <x:c r="H34" s="4"/>
      <x:c r="I34" s="4"/>
      <x:c r="J34" s="4"/>
      <x:c r="K34" s="4"/>
      <x:c r="L34" s="4"/>
      <x:c r="M34" s="4"/>
    </x:row>
    <x:row r="35" ht="25" customHeight="1">
      <x:c r="A35" s="3"/>
      <x:c r="B35" s="4"/>
      <x:c r="C35" s="4"/>
      <x:c r="D35" s="4"/>
      <x:c r="E35" s="4"/>
      <x:c r="F35" s="4"/>
      <x:c r="G35" s="4"/>
      <x:c r="H35" s="4"/>
      <x:c r="I35" s="4"/>
      <x:c r="J35" s="4"/>
      <x:c r="K35" s="4"/>
      <x:c r="L35" s="4"/>
      <x:c r="M35" s="4"/>
    </x:row>
    <x:row r="36" ht="25" customHeight="1">
      <x:c r="A36" s="3"/>
      <x:c r="B36" s="4"/>
      <x:c r="C36" s="4"/>
      <x:c r="D36" s="4"/>
      <x:c r="E36" s="4"/>
      <x:c r="F36" s="4"/>
      <x:c r="G36" s="4"/>
      <x:c r="H36" s="4"/>
      <x:c r="I36" s="4"/>
      <x:c r="J36" s="4"/>
      <x:c r="K36" s="4"/>
      <x:c r="L36" s="4"/>
      <x:c r="M36" s="4"/>
    </x:row>
    <x:row r="37" ht="25" customHeight="1">
      <x:c r="A37" s="3"/>
      <x:c r="B37" s="4"/>
      <x:c r="C37" s="4"/>
      <x:c r="D37" s="4"/>
      <x:c r="E37" s="4"/>
      <x:c r="F37" s="4"/>
      <x:c r="G37" s="4"/>
      <x:c r="H37" s="4"/>
      <x:c r="I37" s="4"/>
      <x:c r="J37" s="4"/>
      <x:c r="K37" s="4"/>
      <x:c r="L37" s="4"/>
      <x:c r="M37" s="4"/>
    </x:row>
    <x:row r="38" ht="25" customHeight="1">
      <x:c r="A38" s="3"/>
      <x:c r="B38" s="4"/>
      <x:c r="C38" s="4"/>
      <x:c r="D38" s="4"/>
      <x:c r="E38" s="4"/>
      <x:c r="F38" s="4"/>
      <x:c r="G38" s="4"/>
      <x:c r="H38" s="4"/>
      <x:c r="I38" s="4"/>
      <x:c r="J38" s="4"/>
      <x:c r="K38" s="4"/>
      <x:c r="L38" s="4"/>
      <x:c r="M38" s="4"/>
    </x:row>
    <x:row r="39" ht="25" customHeight="1">
      <x:c r="A39" s="3"/>
      <x:c r="B39" s="4"/>
      <x:c r="C39" s="4"/>
      <x:c r="D39" s="4"/>
      <x:c r="E39" s="4"/>
      <x:c r="F39" s="4"/>
      <x:c r="G39" s="4"/>
      <x:c r="H39" s="4"/>
      <x:c r="I39" s="4"/>
      <x:c r="J39" s="4"/>
      <x:c r="K39" s="4"/>
      <x:c r="L39" s="4"/>
      <x:c r="M39" s="4"/>
    </x:row>
    <x:row r="40" ht="25" customHeight="1">
      <x:c r="A40" s="3"/>
      <x:c r="B40" s="4"/>
      <x:c r="C40" s="4"/>
      <x:c r="D40" s="4"/>
      <x:c r="E40" s="4"/>
      <x:c r="F40" s="4"/>
      <x:c r="G40" s="4"/>
      <x:c r="H40" s="4"/>
      <x:c r="I40" s="4"/>
      <x:c r="J40" s="4"/>
      <x:c r="K40" s="4"/>
      <x:c r="L40" s="4"/>
      <x:c r="M40" s="4"/>
    </x:row>
    <x:row r="41" ht="25" customHeight="1">
      <x:c r="A41" s="3"/>
      <x:c r="B41" s="4"/>
      <x:c r="C41" s="4"/>
      <x:c r="D41" s="4"/>
      <x:c r="E41" s="4"/>
      <x:c r="F41" s="4"/>
      <x:c r="G41" s="4"/>
      <x:c r="H41" s="4"/>
      <x:c r="I41" s="4"/>
      <x:c r="J41" s="4"/>
      <x:c r="K41" s="4"/>
      <x:c r="L41" s="4"/>
      <x:c r="M41" s="4"/>
    </x:row>
    <x:row r="42" ht="25" customHeight="1">
      <x:c r="A42" s="3"/>
      <x:c r="B42" s="4"/>
      <x:c r="C42" s="4"/>
      <x:c r="D42" s="4"/>
      <x:c r="E42" s="4"/>
      <x:c r="F42" s="4"/>
      <x:c r="G42" s="4"/>
      <x:c r="H42" s="4"/>
      <x:c r="I42" s="4"/>
      <x:c r="J42" s="4"/>
      <x:c r="K42" s="4"/>
      <x:c r="L42" s="4"/>
      <x:c r="M42" s="4"/>
    </x:row>
    <x:row r="43" ht="25" customHeight="1">
      <x:c r="A43" s="3"/>
      <x:c r="B43" s="4"/>
      <x:c r="C43" s="4"/>
      <x:c r="D43" s="4"/>
      <x:c r="E43" s="4"/>
      <x:c r="F43" s="4"/>
      <x:c r="G43" s="4"/>
      <x:c r="H43" s="4"/>
      <x:c r="I43" s="4"/>
      <x:c r="J43" s="4"/>
      <x:c r="K43" s="4"/>
      <x:c r="L43" s="4"/>
      <x:c r="M43" s="4"/>
    </x:row>
    <x:row r="44" ht="25" customHeight="1">
      <x:c r="A44" s="3"/>
      <x:c r="B44" s="4"/>
      <x:c r="C44" s="4"/>
      <x:c r="D44" s="4"/>
      <x:c r="E44" s="4"/>
      <x:c r="F44" s="4"/>
      <x:c r="G44" s="4"/>
      <x:c r="H44" s="4"/>
      <x:c r="I44" s="4"/>
      <x:c r="J44" s="4"/>
      <x:c r="K44" s="4"/>
      <x:c r="L44" s="4"/>
      <x:c r="M44" s="4"/>
    </x:row>
    <x:row r="45" ht="25" customHeight="1">
      <x:c r="A45" s="3"/>
      <x:c r="B45" s="4"/>
      <x:c r="C45" s="4"/>
      <x:c r="D45" s="4"/>
      <x:c r="E45" s="4"/>
      <x:c r="F45" s="4"/>
      <x:c r="G45" s="4"/>
      <x:c r="H45" s="4"/>
      <x:c r="I45" s="4"/>
      <x:c r="J45" s="4"/>
      <x:c r="K45" s="4"/>
      <x:c r="L45" s="4"/>
      <x:c r="M45" s="4"/>
    </x:row>
    <x:row r="46" ht="25" customHeight="1">
      <x:c r="A46" s="3"/>
      <x:c r="B46" s="4"/>
      <x:c r="C46" s="4"/>
      <x:c r="D46" s="4"/>
      <x:c r="E46" s="4"/>
      <x:c r="F46" s="4"/>
      <x:c r="G46" s="4"/>
      <x:c r="H46" s="4"/>
      <x:c r="I46" s="4"/>
      <x:c r="J46" s="4"/>
      <x:c r="K46" s="4"/>
      <x:c r="L46" s="4"/>
      <x:c r="M46" s="4"/>
    </x:row>
    <x:row r="47" ht="25" customHeight="1">
      <x:c r="A47" s="3"/>
      <x:c r="B47" s="4"/>
      <x:c r="C47" s="4"/>
      <x:c r="D47" s="4"/>
      <x:c r="E47" s="4"/>
      <x:c r="F47" s="4"/>
      <x:c r="G47" s="4"/>
      <x:c r="H47" s="4"/>
      <x:c r="I47" s="4"/>
      <x:c r="J47" s="4"/>
      <x:c r="K47" s="4"/>
      <x:c r="L47" s="4"/>
      <x:c r="M47" s="4"/>
    </x:row>
    <x:row r="48" ht="25" customHeight="1">
      <x:c r="A48" s="3"/>
      <x:c r="B48" s="4"/>
      <x:c r="C48" s="4"/>
      <x:c r="D48" s="4"/>
      <x:c r="E48" s="4"/>
      <x:c r="F48" s="4"/>
      <x:c r="G48" s="4"/>
      <x:c r="H48" s="4"/>
      <x:c r="I48" s="4"/>
      <x:c r="J48" s="4"/>
      <x:c r="K48" s="4"/>
      <x:c r="L48" s="4"/>
      <x:c r="M48" s="4"/>
    </x:row>
    <x:row r="49" ht="25" customHeight="1">
      <x:c r="A49" s="3"/>
      <x:c r="B49" s="4"/>
      <x:c r="C49" s="4"/>
      <x:c r="D49" s="4"/>
      <x:c r="E49" s="4"/>
      <x:c r="F49" s="4"/>
      <x:c r="G49" s="4"/>
      <x:c r="H49" s="4"/>
      <x:c r="I49" s="4"/>
      <x:c r="J49" s="4"/>
      <x:c r="K49" s="4"/>
      <x:c r="L49" s="4"/>
      <x:c r="M49" s="4"/>
    </x:row>
    <x:row r="50" ht="25" customHeight="1">
      <x:c r="A50" s="3"/>
      <x:c r="B50" s="4"/>
      <x:c r="C50" s="4"/>
      <x:c r="D50" s="4"/>
      <x:c r="E50" s="4"/>
      <x:c r="F50" s="4"/>
      <x:c r="G50" s="4"/>
      <x:c r="H50" s="4"/>
      <x:c r="I50" s="4"/>
      <x:c r="J50" s="4"/>
      <x:c r="K50" s="4"/>
      <x:c r="L50" s="4"/>
      <x:c r="M50" s="4"/>
    </x:row>
    <x:row r="51" ht="25" customHeight="1">
      <x:c r="A51" s="3"/>
      <x:c r="B51" s="4"/>
      <x:c r="C51" s="4"/>
      <x:c r="D51" s="4"/>
      <x:c r="E51" s="4"/>
      <x:c r="F51" s="4"/>
      <x:c r="G51" s="4"/>
      <x:c r="H51" s="4"/>
      <x:c r="I51" s="4"/>
      <x:c r="J51" s="4"/>
      <x:c r="K51" s="4"/>
      <x:c r="L51" s="4"/>
      <x:c r="M51" s="4"/>
    </x:row>
    <x:row r="52" ht="25" customHeight="1">
      <x:c r="A52" s="3"/>
      <x:c r="B52" s="4"/>
      <x:c r="C52" s="4"/>
      <x:c r="D52" s="4"/>
      <x:c r="E52" s="4"/>
      <x:c r="F52" s="4"/>
      <x:c r="G52" s="4"/>
      <x:c r="H52" s="4"/>
      <x:c r="I52" s="4"/>
      <x:c r="J52" s="4"/>
      <x:c r="K52" s="4"/>
      <x:c r="L52" s="4"/>
      <x:c r="M52" s="4"/>
    </x:row>
    <x:row r="53" ht="25" customHeight="1">
      <x:c r="A53" s="3"/>
      <x:c r="B53" s="4"/>
      <x:c r="C53" s="4"/>
      <x:c r="D53" s="4"/>
      <x:c r="E53" s="4"/>
      <x:c r="F53" s="4"/>
      <x:c r="G53" s="4"/>
      <x:c r="H53" s="4"/>
      <x:c r="I53" s="4"/>
      <x:c r="J53" s="4"/>
      <x:c r="K53" s="4"/>
      <x:c r="L53" s="4"/>
      <x:c r="M53" s="4"/>
    </x:row>
    <x:row r="54" ht="25" customHeight="1">
      <x:c r="A54" s="3"/>
      <x:c r="B54" s="4"/>
      <x:c r="C54" s="4"/>
      <x:c r="D54" s="4"/>
      <x:c r="E54" s="4"/>
      <x:c r="F54" s="4"/>
      <x:c r="G54" s="4"/>
      <x:c r="H54" s="4"/>
      <x:c r="I54" s="4"/>
      <x:c r="J54" s="4"/>
      <x:c r="K54" s="4"/>
      <x:c r="L54" s="4"/>
      <x:c r="M54" s="4"/>
    </x:row>
    <x:row r="55" ht="25" customHeight="1">
      <x:c r="A55" s="3"/>
      <x:c r="B55" s="4"/>
      <x:c r="C55" s="4"/>
      <x:c r="D55" s="4"/>
      <x:c r="E55" s="4"/>
      <x:c r="F55" s="4"/>
      <x:c r="G55" s="4"/>
      <x:c r="H55" s="4"/>
      <x:c r="I55" s="4"/>
      <x:c r="J55" s="4"/>
      <x:c r="K55" s="4"/>
      <x:c r="L55" s="4"/>
      <x:c r="M55" s="4"/>
    </x:row>
    <x:row r="56" ht="25" customHeight="1">
      <x:c r="A56" s="3"/>
      <x:c r="B56" s="4"/>
      <x:c r="C56" s="4"/>
      <x:c r="D56" s="4"/>
      <x:c r="E56" s="4"/>
      <x:c r="F56" s="4"/>
      <x:c r="G56" s="4"/>
      <x:c r="H56" s="4"/>
      <x:c r="I56" s="4"/>
      <x:c r="J56" s="4"/>
      <x:c r="K56" s="4"/>
      <x:c r="L56" s="4"/>
      <x:c r="M56" s="4"/>
    </x:row>
    <x:row r="57" ht="25" customHeight="1">
      <x:c r="A57" s="3"/>
      <x:c r="B57" s="4"/>
      <x:c r="C57" s="4"/>
      <x:c r="D57" s="4"/>
      <x:c r="E57" s="4"/>
      <x:c r="F57" s="4"/>
      <x:c r="G57" s="4"/>
      <x:c r="H57" s="4"/>
      <x:c r="I57" s="4"/>
      <x:c r="J57" s="4"/>
      <x:c r="K57" s="4"/>
      <x:c r="L57" s="4"/>
      <x:c r="M57" s="4"/>
    </x:row>
    <x:row r="58" ht="25" customHeight="1">
      <x:c r="A58" s="3"/>
      <x:c r="B58" s="4"/>
      <x:c r="C58" s="4"/>
      <x:c r="D58" s="4"/>
      <x:c r="E58" s="4"/>
      <x:c r="F58" s="4"/>
      <x:c r="G58" s="4"/>
      <x:c r="H58" s="4"/>
      <x:c r="I58" s="4"/>
      <x:c r="J58" s="4"/>
      <x:c r="K58" s="4"/>
      <x:c r="L58" s="4"/>
      <x:c r="M58" s="4"/>
    </x:row>
    <x:row r="59" ht="25" customHeight="1">
      <x:c r="A59" s="3"/>
      <x:c r="B59" s="4"/>
      <x:c r="C59" s="4"/>
      <x:c r="D59" s="4"/>
      <x:c r="E59" s="4"/>
      <x:c r="F59" s="4"/>
      <x:c r="G59" s="4"/>
      <x:c r="H59" s="4"/>
      <x:c r="I59" s="4"/>
      <x:c r="J59" s="4"/>
      <x:c r="K59" s="4"/>
      <x:c r="L59" s="4"/>
      <x:c r="M59" s="4"/>
    </x:row>
    <x:row r="60" ht="25" customHeight="1">
      <x:c r="A60" s="3"/>
      <x:c r="B60" s="4"/>
      <x:c r="C60" s="4"/>
      <x:c r="D60" s="4"/>
      <x:c r="E60" s="4"/>
      <x:c r="F60" s="4"/>
      <x:c r="G60" s="4"/>
      <x:c r="H60" s="4"/>
      <x:c r="I60" s="4"/>
      <x:c r="J60" s="4"/>
      <x:c r="K60" s="4"/>
      <x:c r="L60" s="4"/>
      <x:c r="M60" s="4"/>
    </x:row>
  </x:sheetData>
  <x:mergeCells>
    <x:mergeCell ref="A1:D1"/>
    <x:mergeCell ref="A2:D3"/>
    <x:mergeCell ref="A5:D5"/>
    <x:mergeCell ref="A20:D24"/>
    <x:mergeCell ref="A26:D29"/>
    <x:mergeCell ref="A31:D3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3.33000183105469" hidden="0" customWidth="1"/>
    <x:col min="2" max="2" width="19.440000534057617" hidden="0" customWidth="1"/>
    <x:col min="3" max="3" width="19.440000534057617" hidden="0" customWidth="1"/>
    <x:col min="4" max="4" width="43.33000183105469"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s>
  <x:sheetData>
    <x:row r="1" ht="30" customHeight="1">
      <x:c r="A1" s="6" t="str">
        <x:v>AEVU | إيڤو — الافتراضات</x:v>
      </x:c>
      <x:c r="B1" s="6"/>
      <x:c r="C1" s="6"/>
      <x:c r="D1" s="6"/>
      <x:c r="E1" s="3"/>
      <x:c r="F1" s="3"/>
      <x:c r="G1" s="3"/>
      <x:c r="H1" s="3"/>
      <x:c r="I1" s="3"/>
      <x:c r="J1" s="3"/>
      <x:c r="K1" s="3"/>
      <x:c r="L1" s="3"/>
      <x:c r="M1" s="3"/>
    </x:row>
    <x:row r="2" ht="25" customHeight="1">
      <x:c r="A2" s="8" t="str">
        <x:v>دراسة تصورية • 7 سبتمبر 2026 • ريال سعودي • المدخلات باللون الأزرق، المعادلات بالأسود، وروابط الأوراق بالأخضر.</x:v>
      </x:c>
      <x:c r="B2" s="8"/>
      <x:c r="C2" s="8"/>
      <x:c r="D2" s="8"/>
      <x:c r="E2" s="3"/>
      <x:c r="F2" s="3"/>
      <x:c r="G2" s="3"/>
      <x:c r="H2" s="3"/>
      <x:c r="I2" s="3"/>
      <x:c r="J2" s="3"/>
      <x:c r="K2" s="3"/>
      <x:c r="L2" s="3"/>
      <x:c r="M2" s="3"/>
    </x:row>
    <x:row r="3" ht="25" customHeight="1">
      <x:c r="A3" s="8"/>
      <x:c r="B3" s="8"/>
      <x:c r="C3" s="8"/>
      <x:c r="D3" s="8"/>
      <x:c r="E3" s="3"/>
      <x:c r="F3" s="3"/>
      <x:c r="G3" s="3"/>
      <x:c r="H3" s="3"/>
      <x:c r="I3" s="3"/>
      <x:c r="J3" s="3"/>
      <x:c r="K3" s="3"/>
      <x:c r="L3" s="3"/>
      <x:c r="M3" s="3"/>
    </x:row>
    <x:row r="4" ht="25" customHeight="1">
      <x:c r="A4" s="3"/>
      <x:c r="B4" s="3"/>
      <x:c r="C4" s="3"/>
      <x:c r="D4" s="3"/>
      <x:c r="E4" s="3"/>
      <x:c r="F4" s="3"/>
      <x:c r="G4" s="3"/>
      <x:c r="H4" s="3"/>
      <x:c r="I4" s="3"/>
      <x:c r="J4" s="3"/>
      <x:c r="K4" s="3"/>
      <x:c r="L4" s="3"/>
      <x:c r="M4" s="3"/>
    </x:row>
    <x:row r="5" ht="25" customHeight="1">
      <x:c r="A5" s="3" t="str">
        <x:v>الافتراض</x:v>
      </x:c>
      <x:c r="B5" s="3" t="str">
        <x:v>القيمة</x:v>
      </x:c>
      <x:c r="C5" s="3" t="str">
        <x:v>الوحدة</x:v>
      </x:c>
      <x:c r="D5" s="3" t="str">
        <x:v>التفسير</x:v>
      </x:c>
      <x:c r="E5" s="3"/>
      <x:c r="F5" s="3"/>
      <x:c r="G5" s="3"/>
      <x:c r="H5" s="3"/>
      <x:c r="I5" s="3"/>
      <x:c r="J5" s="3"/>
      <x:c r="K5" s="3"/>
      <x:c r="L5" s="3"/>
      <x:c r="M5" s="3"/>
    </x:row>
    <x:row r="6" ht="40" customHeight="1">
      <x:c r="A6" s="3" t="str">
        <x:v>سعر المستهلك</x:v>
      </x:c>
      <x:c r="B6" s="10" t="n">
        <x:v>249</x:v>
      </x:c>
      <x:c r="C6" s="4" t="str">
        <x:v>ر.س / عبوة</x:v>
      </x:c>
      <x:c r="D6" s="17" t="str">
        <x:v>يشمل القيمة المضافة قبل الخصم.</x:v>
      </x:c>
      <x:c r="E6" s="4"/>
      <x:c r="F6" s="4"/>
      <x:c r="G6" s="4"/>
      <x:c r="H6" s="4"/>
      <x:c r="I6" s="4"/>
      <x:c r="J6" s="4"/>
      <x:c r="K6" s="4"/>
      <x:c r="L6" s="4"/>
      <x:c r="M6" s="4"/>
    </x:row>
    <x:row r="7" ht="40" customHeight="1">
      <x:c r="A7" s="3" t="str">
        <x:v>القيمة المضافة</x:v>
      </x:c>
      <x:c r="B7" s="20" t="n">
        <x:v>0.15</x:v>
      </x:c>
      <x:c r="C7" s="4" t="str">
        <x:v>%</x:v>
      </x:c>
      <x:c r="D7" s="17" t="str">
        <x:v>المصدر الرسمي: ZATCA؛ النموذج يفترض تكلفة صافية من المدخلات القابلة للاسترداد.</x:v>
      </x:c>
      <x:c r="E7" s="4"/>
      <x:c r="F7" s="4"/>
      <x:c r="G7" s="4"/>
      <x:c r="H7" s="4"/>
      <x:c r="I7" s="4"/>
      <x:c r="J7" s="4"/>
      <x:c r="K7" s="4"/>
      <x:c r="L7" s="4"/>
      <x:c r="M7" s="4"/>
    </x:row>
    <x:row r="8" ht="40" customHeight="1">
      <x:c r="A8" s="3" t="str">
        <x:v>متوسط الخصم</x:v>
      </x:c>
      <x:c r="B8" s="20" t="n">
        <x:v>0.08</x:v>
      </x:c>
      <x:c r="C8" s="4" t="str">
        <x:v>%</x:v>
      </x:c>
      <x:c r="D8" s="17" t="str">
        <x:v>افتراض على كل الطلبات.</x:v>
      </x:c>
      <x:c r="E8" s="4"/>
      <x:c r="F8" s="4"/>
      <x:c r="G8" s="4"/>
      <x:c r="H8" s="4"/>
      <x:c r="I8" s="4"/>
      <x:c r="J8" s="4"/>
      <x:c r="K8" s="4"/>
      <x:c r="L8" s="4"/>
      <x:c r="M8" s="4"/>
    </x:row>
    <x:row r="9" ht="40" customHeight="1">
      <x:c r="A9" s="3" t="str">
        <x:v>الإيراد المسترد</x:v>
      </x:c>
      <x:c r="B9" s="20" t="n">
        <x:v>0.02</x:v>
      </x:c>
      <x:c r="C9" s="4" t="str">
        <x:v>%</x:v>
      </x:c>
      <x:c r="D9" s="17" t="str">
        <x:v>خصم من الإيراد بعد التخفيض؛ لا يعاد المنتج للمخزون.</x:v>
      </x:c>
      <x:c r="E9" s="4"/>
      <x:c r="F9" s="4"/>
      <x:c r="G9" s="4"/>
      <x:c r="H9" s="4"/>
      <x:c r="I9" s="4"/>
      <x:c r="J9" s="4"/>
      <x:c r="K9" s="4"/>
      <x:c r="L9" s="4"/>
      <x:c r="M9" s="4"/>
    </x:row>
    <x:row r="10" ht="40" customHeight="1">
      <x:c r="A10" s="3" t="str">
        <x:v>تكلفة المنتج</x:v>
      </x:c>
      <x:c r="B10" s="19" t="n">
        <x:f>'التكاليف'!B34</x:f>
        <x:v>62</x:v>
      </x:c>
      <x:c r="C10" s="4" t="str">
        <x:v>ر.س / عبوة</x:v>
      </x:c>
      <x:c r="D10" s="17" t="str">
        <x:v>مرتبطة بتفصيل ورقة التكاليف.</x:v>
      </x:c>
      <x:c r="E10" s="4"/>
      <x:c r="F10" s="4"/>
      <x:c r="G10" s="4"/>
      <x:c r="H10" s="4"/>
      <x:c r="I10" s="4"/>
      <x:c r="J10" s="4"/>
      <x:c r="K10" s="4"/>
      <x:c r="L10" s="4"/>
      <x:c r="M10" s="4"/>
    </x:row>
    <x:row r="11" ht="40" customHeight="1">
      <x:c r="A11" s="3" t="str">
        <x:v>التجهيز</x:v>
      </x:c>
      <x:c r="B11" s="10" t="n">
        <x:v>5</x:v>
      </x:c>
      <x:c r="C11" s="4" t="str">
        <x:v>ر.س / طلب</x:v>
      </x:c>
      <x:c r="D11" s="17" t="str">
        <x:v>تجهيز الطلب، مستقل عن تصنيع العلبة.</x:v>
      </x:c>
      <x:c r="E11" s="4"/>
      <x:c r="F11" s="4"/>
      <x:c r="G11" s="4"/>
      <x:c r="H11" s="4"/>
      <x:c r="I11" s="4"/>
      <x:c r="J11" s="4"/>
      <x:c r="K11" s="4"/>
      <x:c r="L11" s="4"/>
      <x:c r="M11" s="4"/>
    </x:row>
    <x:row r="12" ht="40" customHeight="1">
      <x:c r="A12" s="3" t="str">
        <x:v>الشحن</x:v>
      </x:c>
      <x:c r="B12" s="10" t="n">
        <x:v>18</x:v>
      </x:c>
      <x:c r="C12" s="4" t="str">
        <x:v>ر.س / طلب</x:v>
      </x:c>
      <x:c r="D12" s="17" t="str">
        <x:v>تتحمله العلامة؛ لا إيراد شحن.</x:v>
      </x:c>
      <x:c r="E12" s="4"/>
      <x:c r="F12" s="4"/>
      <x:c r="G12" s="4"/>
      <x:c r="H12" s="4"/>
      <x:c r="I12" s="4"/>
      <x:c r="J12" s="4"/>
      <x:c r="K12" s="4"/>
      <x:c r="L12" s="4"/>
      <x:c r="M12" s="4"/>
    </x:row>
    <x:row r="13" ht="40" customHeight="1">
      <x:c r="A13" s="3" t="str">
        <x:v>رسوم الدفع النسبية</x:v>
      </x:c>
      <x:c r="B13" s="20" t="n">
        <x:v>0.025</x:v>
      </x:c>
      <x:c r="C13" s="4" t="str">
        <x:v>%</x:v>
      </x:c>
      <x:c r="D13" s="17" t="str">
        <x:v>على المحصل بعد الخصم وقبل الاسترداد.</x:v>
      </x:c>
      <x:c r="E13" s="4"/>
      <x:c r="F13" s="4"/>
      <x:c r="G13" s="4"/>
      <x:c r="H13" s="4"/>
      <x:c r="I13" s="4"/>
      <x:c r="J13" s="4"/>
      <x:c r="K13" s="4"/>
      <x:c r="L13" s="4"/>
      <x:c r="M13" s="4"/>
    </x:row>
    <x:row r="14" ht="40" customHeight="1">
      <x:c r="A14" s="3" t="str">
        <x:v>رسوم الدفع الثابتة</x:v>
      </x:c>
      <x:c r="B14" s="10" t="n">
        <x:v>1</x:v>
      </x:c>
      <x:c r="C14" s="4" t="str">
        <x:v>ر.س / طلب</x:v>
      </x:c>
      <x:c r="D14" s="17" t="str">
        <x:v>إضافة إلى النسبة.</x:v>
      </x:c>
      <x:c r="E14" s="4"/>
      <x:c r="F14" s="4"/>
      <x:c r="G14" s="4"/>
      <x:c r="H14" s="4"/>
      <x:c r="I14" s="4"/>
      <x:c r="J14" s="4"/>
      <x:c r="K14" s="4"/>
      <x:c r="L14" s="4"/>
      <x:c r="M14" s="4"/>
    </x:row>
    <x:row r="15" ht="40" customHeight="1">
      <x:c r="A15" s="3" t="str">
        <x:v>مخصص معالجة المرتجعات</x:v>
      </x:c>
      <x:c r="B15" s="21" t="n">
        <x:v>2.5</x:v>
      </x:c>
      <x:c r="C15" s="4" t="str">
        <x:v>ر.س / طلب</x:v>
      </x:c>
      <x:c r="D15" s="17" t="str">
        <x:v>نقل ومعالجة إضافية؛ مستقل عن رد الإيراد.</x:v>
      </x:c>
      <x:c r="E15" s="4"/>
      <x:c r="F15" s="4"/>
      <x:c r="G15" s="4"/>
      <x:c r="H15" s="4"/>
      <x:c r="I15" s="4"/>
      <x:c r="J15" s="4"/>
      <x:c r="K15" s="4"/>
      <x:c r="L15" s="4"/>
      <x:c r="M15" s="4"/>
    </x:row>
    <x:row r="16" ht="40" customHeight="1">
      <x:c r="A16" s="3" t="str">
        <x:v>تسويق متغير</x:v>
      </x:c>
      <x:c r="B16" s="10" t="n">
        <x:v>45</x:v>
      </x:c>
      <x:c r="C16" s="4" t="str">
        <x:v>ر.س / طلب</x:v>
      </x:c>
      <x:c r="D16" s="17" t="str">
        <x:v>متوسط إنفاق على كل الطلبات، وليس تكلفة عميل جديد.</x:v>
      </x:c>
      <x:c r="E16" s="4"/>
      <x:c r="F16" s="4"/>
      <x:c r="G16" s="4"/>
      <x:c r="H16" s="4"/>
      <x:c r="I16" s="4"/>
      <x:c r="J16" s="4"/>
      <x:c r="K16" s="4"/>
      <x:c r="L16" s="4"/>
      <x:c r="M16" s="4"/>
    </x:row>
    <x:row r="17" ht="40" customHeight="1">
      <x:c r="A17" s="3" t="str">
        <x:v>تكاليف ثابتة شهرية</x:v>
      </x:c>
      <x:c r="B17" s="19" t="n">
        <x:f>'التكاليف'!B25</x:f>
        <x:v>15000</x:v>
      </x:c>
      <x:c r="C17" s="4" t="str">
        <x:v>ر.س / شهر</x:v>
      </x:c>
      <x:c r="D17" s="17" t="str">
        <x:v>تشمل أجر المؤسس؛ مرتبطة بورقة التكاليف.</x:v>
      </x:c>
      <x:c r="E17" s="4"/>
      <x:c r="F17" s="4"/>
      <x:c r="G17" s="4"/>
      <x:c r="H17" s="4"/>
      <x:c r="I17" s="4"/>
      <x:c r="J17" s="4"/>
      <x:c r="K17" s="4"/>
      <x:c r="L17" s="4"/>
      <x:c r="M17" s="4"/>
    </x:row>
    <x:row r="18" ht="40" customHeight="1">
      <x:c r="A18" s="3" t="str">
        <x:v>تأسيس</x:v>
      </x:c>
      <x:c r="B18" s="19" t="n">
        <x:f>'التكاليف'!B14</x:f>
        <x:v>75000</x:v>
      </x:c>
      <x:c r="C18" s="4" t="str">
        <x:v>ر.س</x:v>
      </x:c>
      <x:c r="D18" s="17" t="str">
        <x:v>تكلفة ما قبل التشغيل؛ لا تخصم مرة ثانية من النقد الافتتاحي.</x:v>
      </x:c>
      <x:c r="E18" s="4"/>
      <x:c r="F18" s="4"/>
      <x:c r="G18" s="4"/>
      <x:c r="H18" s="4"/>
      <x:c r="I18" s="4"/>
      <x:c r="J18" s="4"/>
      <x:c r="K18" s="4"/>
      <x:c r="L18" s="4"/>
      <x:c r="M18" s="4"/>
    </x:row>
    <x:row r="19" ht="40" customHeight="1">
      <x:c r="A19" s="3" t="str">
        <x:v>مخزون افتتاحي مدفوع</x:v>
      </x:c>
      <x:c r="B19" s="10" t="n">
        <x:v>1000</x:v>
      </x:c>
      <x:c r="C19" s="4" t="str">
        <x:v>عبوة</x:v>
      </x:c>
      <x:c r="D19" s="17" t="str">
        <x:v>دفع بالكامل قبل الشهر الأول.</x:v>
      </x:c>
      <x:c r="E19" s="4"/>
      <x:c r="F19" s="4"/>
      <x:c r="G19" s="4"/>
      <x:c r="H19" s="4"/>
      <x:c r="I19" s="4"/>
      <x:c r="J19" s="4"/>
      <x:c r="K19" s="4"/>
      <x:c r="L19" s="4"/>
      <x:c r="M19" s="4"/>
    </x:row>
    <x:row r="20" ht="40" customHeight="1">
      <x:c r="A20" s="3" t="str">
        <x:v>وديعة</x:v>
      </x:c>
      <x:c r="B20" s="10" t="n">
        <x:v>3000</x:v>
      </x:c>
      <x:c r="C20" s="4" t="str">
        <x:v>ر.س</x:v>
      </x:c>
      <x:c r="D20" s="17" t="str">
        <x:v>لا استرداد داخل أفق السنة.</x:v>
      </x:c>
      <x:c r="E20" s="4"/>
      <x:c r="F20" s="4"/>
      <x:c r="G20" s="4"/>
      <x:c r="H20" s="4"/>
      <x:c r="I20" s="4"/>
      <x:c r="J20" s="4"/>
      <x:c r="K20" s="4"/>
      <x:c r="L20" s="4"/>
      <x:c r="M20" s="4"/>
    </x:row>
    <x:row r="21" ht="40" customHeight="1">
      <x:c r="A21" s="3" t="str">
        <x:v>احتياطي تشغيل</x:v>
      </x:c>
      <x:c r="B21" s="10" t="n">
        <x:v>4</x:v>
      </x:c>
      <x:c r="C21" s="4" t="str">
        <x:v>أشهر ثابتة</x:v>
      </x:c>
      <x:c r="D21" s="17" t="str">
        <x:v>سيولة افتتاحية وليست مصروفًا.</x:v>
      </x:c>
      <x:c r="E21" s="4"/>
      <x:c r="F21" s="4"/>
      <x:c r="G21" s="4"/>
      <x:c r="H21" s="4"/>
      <x:c r="I21" s="4"/>
      <x:c r="J21" s="4"/>
      <x:c r="K21" s="4"/>
      <x:c r="L21" s="4"/>
      <x:c r="M21" s="4"/>
    </x:row>
    <x:row r="22" ht="40" customHeight="1">
      <x:c r="A22" s="3" t="str">
        <x:v>هامش توقيت الضريبة</x:v>
      </x:c>
      <x:c r="B22" s="10" t="n">
        <x:v>10000</x:v>
      </x:c>
      <x:c r="C22" s="4" t="str">
        <x:v>ر.س</x:v>
      </x:c>
      <x:c r="D22" s="17" t="str">
        <x:v>خارج حركة النقد الأساسية؛ احتياطي تقديري يحتاج مراجعة.</x:v>
      </x:c>
      <x:c r="E22" s="4"/>
      <x:c r="F22" s="4"/>
      <x:c r="G22" s="4"/>
      <x:c r="H22" s="4"/>
      <x:c r="I22" s="4"/>
      <x:c r="J22" s="4"/>
      <x:c r="K22" s="4"/>
      <x:c r="L22" s="4"/>
      <x:c r="M22" s="4"/>
    </x:row>
    <x:row r="23" ht="40" customHeight="1">
      <x:c r="A23" s="3" t="str">
        <x:v>حجم الدفعة المستهدف</x:v>
      </x:c>
      <x:c r="B23" s="9" t="n">
        <x:v>1000</x:v>
      </x:c>
      <x:c r="C23" s="4" t="str">
        <x:v>عبوة</x:v>
      </x:c>
      <x:c r="D23" s="17" t="str">
        <x:v>مرجع للتخطيط؛ عدل مواعيد وكميات الاستلام في الصف 52 يدويًا.</x:v>
      </x:c>
      <x:c r="E23" s="4"/>
      <x:c r="F23" s="4"/>
      <x:c r="G23" s="4"/>
      <x:c r="H23" s="4"/>
      <x:c r="I23" s="4"/>
      <x:c r="J23" s="4"/>
      <x:c r="K23" s="4"/>
      <x:c r="L23" s="4"/>
      <x:c r="M23" s="4"/>
    </x:row>
    <x:row r="24" ht="40" customHeight="1">
      <x:c r="A24" s="3" t="str">
        <x:v>مهلة التوريد</x:v>
      </x:c>
      <x:c r="B24" s="10" t="n">
        <x:v>1</x:v>
      </x:c>
      <x:c r="C24" s="4" t="str">
        <x:v>شهر</x:v>
      </x:c>
      <x:c r="D24" s="17" t="str">
        <x:v>الدفعة المقدمة تسبق الاستلام بهذه المدة.</x:v>
      </x:c>
      <x:c r="E24" s="4"/>
      <x:c r="F24" s="4"/>
      <x:c r="G24" s="4"/>
      <x:c r="H24" s="4"/>
      <x:c r="I24" s="4"/>
      <x:c r="J24" s="4"/>
      <x:c r="K24" s="4"/>
      <x:c r="L24" s="4"/>
      <x:c r="M24" s="4"/>
    </x:row>
    <x:row r="25" ht="40" customHeight="1">
      <x:c r="A25" s="3" t="str">
        <x:v>مقدم المورد</x:v>
      </x:c>
      <x:c r="B25" s="20" t="n">
        <x:v>0.5</x:v>
      </x:c>
      <x:c r="C25" s="4" t="str">
        <x:v>%</x:v>
      </x:c>
      <x:c r="D25" s="17" t="str">
        <x:v>الباقي عند استلام الدفعة.</x:v>
      </x:c>
      <x:c r="E25" s="4"/>
      <x:c r="F25" s="4"/>
      <x:c r="G25" s="4"/>
      <x:c r="H25" s="4"/>
      <x:c r="I25" s="4"/>
      <x:c r="J25" s="4"/>
      <x:c r="K25" s="4"/>
      <x:c r="L25" s="4"/>
      <x:c r="M25" s="4"/>
    </x:row>
    <x:row r="26" ht="40" customHeight="1">
      <x:c r="A26" s="3" t="str">
        <x:v>مخزون أمان</x:v>
      </x:c>
      <x:c r="B26" s="10" t="n">
        <x:v>250</x:v>
      </x:c>
      <x:c r="C26" s="4" t="str">
        <x:v>عبوة</x:v>
      </x:c>
      <x:c r="D26" s="17" t="str">
        <x:v>عتبة تنبيه، لا تولد أمر شراء آليًا.</x:v>
      </x:c>
      <x:c r="E26" s="4"/>
      <x:c r="F26" s="4"/>
      <x:c r="G26" s="4"/>
      <x:c r="H26" s="4"/>
      <x:c r="I26" s="4"/>
      <x:c r="J26" s="4"/>
      <x:c r="K26" s="4"/>
      <x:c r="L26" s="4"/>
      <x:c r="M26" s="4"/>
    </x:row>
    <x:row r="27" ht="40" customHeight="1">
      <x:c r="A27" s="3" t="str">
        <x:v>تحويل المتجر المستهدف</x:v>
      </x:c>
      <x:c r="B27" s="20" t="n">
        <x:v>0.02</x:v>
      </x:c>
      <x:c r="C27" s="4" t="str">
        <x:v>%</x:v>
      </x:c>
      <x:c r="D27" s="17" t="str">
        <x:v>افتراض لتقدير الزيارات، لم يختبر.</x:v>
      </x:c>
      <x:c r="E27" s="4"/>
      <x:c r="F27" s="4"/>
      <x:c r="G27" s="4"/>
      <x:c r="H27" s="4"/>
      <x:c r="I27" s="4"/>
      <x:c r="J27" s="4"/>
      <x:c r="K27" s="4"/>
      <x:c r="L27" s="4"/>
      <x:c r="M27" s="4"/>
    </x:row>
    <x:row r="28" ht="40" customHeight="1">
      <x:c r="A28" s="3" t="str">
        <x:v>نمو الحجم — السنة الثانية</x:v>
      </x:c>
      <x:c r="B28" s="20" t="n">
        <x:v>0.25</x:v>
      </x:c>
      <x:c r="C28" s="4" t="str">
        <x:v>%</x:v>
      </x:c>
      <x:c r="D28" s="17" t="str">
        <x:v>افتراض نمو الطلبات.</x:v>
      </x:c>
      <x:c r="E28" s="4"/>
      <x:c r="F28" s="4"/>
      <x:c r="G28" s="4"/>
      <x:c r="H28" s="4"/>
      <x:c r="I28" s="4"/>
      <x:c r="J28" s="4"/>
      <x:c r="K28" s="4"/>
      <x:c r="L28" s="4"/>
      <x:c r="M28" s="4"/>
    </x:row>
    <x:row r="29" ht="40" customHeight="1">
      <x:c r="A29" s="3" t="str">
        <x:v>نمو الحجم — السنة الثالثة</x:v>
      </x:c>
      <x:c r="B29" s="20" t="n">
        <x:v>0.2</x:v>
      </x:c>
      <x:c r="C29" s="4" t="str">
        <x:v>%</x:v>
      </x:c>
      <x:c r="D29" s="17" t="str">
        <x:v>افتراض نمو الطلبات.</x:v>
      </x:c>
      <x:c r="E29" s="4"/>
      <x:c r="F29" s="4"/>
      <x:c r="G29" s="4"/>
      <x:c r="H29" s="4"/>
      <x:c r="I29" s="4"/>
      <x:c r="J29" s="4"/>
      <x:c r="K29" s="4"/>
      <x:c r="L29" s="4"/>
      <x:c r="M29" s="4"/>
    </x:row>
    <x:row r="30" ht="40" customHeight="1">
      <x:c r="A30" s="3" t="str">
        <x:v>تضخم تكلفة المنتج</x:v>
      </x:c>
      <x:c r="B30" s="20" t="n">
        <x:v>0.03</x:v>
      </x:c>
      <x:c r="C30" s="4" t="str">
        <x:v>% سنويًا</x:v>
      </x:c>
      <x:c r="D30" s="17" t="str">
        <x:v>يطبق على تكلفة المنتج وحدها.</x:v>
      </x:c>
      <x:c r="E30" s="4"/>
      <x:c r="F30" s="4"/>
      <x:c r="G30" s="4"/>
      <x:c r="H30" s="4"/>
      <x:c r="I30" s="4"/>
      <x:c r="J30" s="4"/>
      <x:c r="K30" s="4"/>
      <x:c r="L30" s="4"/>
      <x:c r="M30" s="4"/>
    </x:row>
    <x:row r="31" ht="40" customHeight="1">
      <x:c r="A31" s="3" t="str">
        <x:v>نمو التكاليف الثابتة</x:v>
      </x:c>
      <x:c r="B31" s="20" t="n">
        <x:v>0.1</x:v>
      </x:c>
      <x:c r="C31" s="4" t="str">
        <x:v>% سنويًا</x:v>
      </x:c>
      <x:c r="D31" s="17" t="str">
        <x:v>زيادة الموارد التشغيلية.</x:v>
      </x:c>
      <x:c r="E31" s="4"/>
      <x:c r="F31" s="4"/>
      <x:c r="G31" s="4"/>
      <x:c r="H31" s="4"/>
      <x:c r="I31" s="4"/>
      <x:c r="J31" s="4"/>
      <x:c r="K31" s="4"/>
      <x:c r="L31" s="4"/>
      <x:c r="M31" s="4"/>
    </x:row>
    <x:row r="32" ht="40" customHeight="1">
      <x:c r="A32" s="3" t="str">
        <x:v>أفق السنة</x:v>
      </x:c>
      <x:c r="B32" s="9" t="n">
        <x:v>12</x:v>
      </x:c>
      <x:c r="C32" s="4" t="str">
        <x:v>شهر</x:v>
      </x:c>
      <x:c r="D32" s="17" t="str">
        <x:v>ثابت في هذا الملف؛ الجداول مبنية على 12 شهرًا.</x:v>
      </x:c>
      <x:c r="E32" s="4"/>
      <x:c r="F32" s="4"/>
      <x:c r="G32" s="4"/>
      <x:c r="H32" s="4"/>
      <x:c r="I32" s="4"/>
      <x:c r="J32" s="4"/>
      <x:c r="K32" s="4"/>
      <x:c r="L32" s="4"/>
      <x:c r="M32" s="4"/>
    </x:row>
    <x:row r="33" ht="40" customHeight="1">
      <x:c r="A33" s="3" t="str">
        <x:v>سماحية الفحص</x:v>
      </x:c>
      <x:c r="B33" s="22" t="n">
        <x:v>0.01</x:v>
      </x:c>
      <x:c r="C33" s="4" t="str">
        <x:v>ر.س</x:v>
      </x:c>
      <x:c r="D33" s="17" t="str">
        <x:v>فروق تقريبات الحسابات.</x:v>
      </x:c>
      <x:c r="E33" s="4"/>
      <x:c r="F33" s="4"/>
      <x:c r="G33" s="4"/>
      <x:c r="H33" s="4"/>
      <x:c r="I33" s="4"/>
      <x:c r="J33" s="4"/>
      <x:c r="K33" s="4"/>
      <x:c r="L33" s="4"/>
      <x:c r="M33" s="4"/>
    </x:row>
    <x:row r="34" ht="25" customHeight="1">
      <x:c r="A34" s="3"/>
      <x:c r="B34" s="4"/>
      <x:c r="C34" s="4"/>
      <x:c r="D34" s="4"/>
      <x:c r="E34" s="4"/>
      <x:c r="F34" s="4"/>
      <x:c r="G34" s="4"/>
      <x:c r="H34" s="4"/>
      <x:c r="I34" s="4"/>
      <x:c r="J34" s="4"/>
      <x:c r="K34" s="4"/>
      <x:c r="L34" s="4"/>
      <x:c r="M34" s="4"/>
    </x:row>
    <x:row r="35" ht="30" customHeight="1">
      <x:c r="A35" s="6" t="str">
        <x:v>اقتصاد الطلب والتمويل</x:v>
      </x:c>
      <x:c r="B35" s="15"/>
      <x:c r="C35" s="15"/>
      <x:c r="D35" s="15"/>
      <x:c r="E35" s="4"/>
      <x:c r="F35" s="4"/>
      <x:c r="G35" s="4"/>
      <x:c r="H35" s="4"/>
      <x:c r="I35" s="4"/>
      <x:c r="J35" s="4"/>
      <x:c r="K35" s="4"/>
      <x:c r="L35" s="4"/>
      <x:c r="M35" s="4"/>
    </x:row>
    <x:row r="36" ht="25" customHeight="1">
      <x:c r="A36" s="3" t="str">
        <x:v>المحصل بعد الخصم</x:v>
      </x:c>
      <x:c r="B36" s="23" t="n">
        <x:f>B6*(1-B8)</x:f>
        <x:v>229.08</x:v>
      </x:c>
      <x:c r="C36" s="4"/>
      <x:c r="D36" s="4"/>
      <x:c r="E36" s="4"/>
      <x:c r="F36" s="4"/>
      <x:c r="G36" s="4"/>
      <x:c r="H36" s="4"/>
      <x:c r="I36" s="4"/>
      <x:c r="J36" s="4"/>
      <x:c r="K36" s="4"/>
      <x:c r="L36" s="4"/>
      <x:c r="M36" s="4"/>
    </x:row>
    <x:row r="37" ht="25" customHeight="1">
      <x:c r="A37" s="3" t="str">
        <x:v>إيراد صاف للطلب</x:v>
      </x:c>
      <x:c r="B37" s="23" t="n">
        <x:f>B36*(1-B9)/(1+B7)</x:f>
        <x:v>195.216</x:v>
      </x:c>
      <x:c r="C37" s="4"/>
      <x:c r="D37" s="4"/>
      <x:c r="E37" s="4"/>
      <x:c r="F37" s="4"/>
      <x:c r="G37" s="4"/>
      <x:c r="H37" s="4"/>
      <x:c r="I37" s="4"/>
      <x:c r="J37" s="4"/>
      <x:c r="K37" s="4"/>
      <x:c r="L37" s="4"/>
      <x:c r="M37" s="4"/>
    </x:row>
    <x:row r="38" ht="25" customHeight="1">
      <x:c r="A38" s="3" t="str">
        <x:v>رسوم الدفع</x:v>
      </x:c>
      <x:c r="B38" s="23" t="n">
        <x:f>B36*B13+B14</x:f>
        <x:v>6.727</x:v>
      </x:c>
      <x:c r="C38" s="4"/>
      <x:c r="D38" s="4"/>
      <x:c r="E38" s="4"/>
      <x:c r="F38" s="4"/>
      <x:c r="G38" s="4"/>
      <x:c r="H38" s="4"/>
      <x:c r="I38" s="4"/>
      <x:c r="J38" s="4"/>
      <x:c r="K38" s="4"/>
      <x:c r="L38" s="4"/>
      <x:c r="M38" s="4"/>
    </x:row>
    <x:row r="39" ht="25" customHeight="1">
      <x:c r="A39" s="3" t="str">
        <x:v>متغيرات الطلب</x:v>
      </x:c>
      <x:c r="B39" s="23" t="n">
        <x:f>SUM(B10:B12)+B38+B15+B16</x:f>
        <x:v>139.227</x:v>
      </x:c>
      <x:c r="C39" s="4"/>
      <x:c r="D39" s="4"/>
      <x:c r="E39" s="4"/>
      <x:c r="F39" s="4"/>
      <x:c r="G39" s="4"/>
      <x:c r="H39" s="4"/>
      <x:c r="I39" s="4"/>
      <x:c r="J39" s="4"/>
      <x:c r="K39" s="4"/>
      <x:c r="L39" s="4"/>
      <x:c r="M39" s="4"/>
    </x:row>
    <x:row r="40" ht="25" customHeight="1">
      <x:c r="A40" s="3" t="str">
        <x:v>مساهمة الطلب</x:v>
      </x:c>
      <x:c r="B40" s="23" t="n">
        <x:f>B37-B39</x:f>
        <x:v>55.989000000000004</x:v>
      </x:c>
      <x:c r="C40" s="4"/>
      <x:c r="D40" s="4"/>
      <x:c r="E40" s="4"/>
      <x:c r="F40" s="4"/>
      <x:c r="G40" s="4"/>
      <x:c r="H40" s="4"/>
      <x:c r="I40" s="4"/>
      <x:c r="J40" s="4"/>
      <x:c r="K40" s="4"/>
      <x:c r="L40" s="4"/>
      <x:c r="M40" s="4"/>
    </x:row>
    <x:row r="41" ht="25" customHeight="1">
      <x:c r="A41" s="3" t="str">
        <x:v>هامش المساهمة</x:v>
      </x:c>
      <x:c r="B41" s="24" t="n">
        <x:f>B40/B37</x:f>
        <x:v>0.2868053848045242</x:v>
      </x:c>
      <x:c r="C41" s="4"/>
      <x:c r="D41" s="4"/>
      <x:c r="E41" s="4"/>
      <x:c r="F41" s="4"/>
      <x:c r="G41" s="4"/>
      <x:c r="H41" s="4"/>
      <x:c r="I41" s="4"/>
      <x:c r="J41" s="4"/>
      <x:c r="K41" s="4"/>
      <x:c r="L41" s="4"/>
      <x:c r="M41" s="4"/>
    </x:row>
    <x:row r="42" ht="25" customHeight="1">
      <x:c r="A42" s="3" t="str">
        <x:v>تعادل الطلبات شهريًا</x:v>
      </x:c>
      <x:c r="B42" s="11" t="n">
        <x:f>IF(B40&gt;0,ROUNDUP(B17/B40,0),"لا يوجد")</x:f>
        <x:v>268</x:v>
      </x:c>
      <x:c r="C42" s="4"/>
      <x:c r="D42" s="4"/>
      <x:c r="E42" s="4"/>
      <x:c r="F42" s="4"/>
      <x:c r="G42" s="4"/>
      <x:c r="H42" s="4"/>
      <x:c r="I42" s="4"/>
      <x:c r="J42" s="4"/>
      <x:c r="K42" s="4"/>
      <x:c r="L42" s="4"/>
      <x:c r="M42" s="4"/>
    </x:row>
    <x:row r="43" ht="25" customHeight="1">
      <x:c r="A43" s="3" t="str">
        <x:v>تمويل البداية الأساسي</x:v>
      </x:c>
      <x:c r="B43" s="11" t="n">
        <x:f>B18+B19*B10+B20+B17*B21</x:f>
        <x:v>200000</x:v>
      </x:c>
      <x:c r="C43" s="4"/>
      <x:c r="D43" s="4"/>
      <x:c r="E43" s="4"/>
      <x:c r="F43" s="4"/>
      <x:c r="G43" s="4"/>
      <x:c r="H43" s="4"/>
      <x:c r="I43" s="4"/>
      <x:c r="J43" s="4"/>
      <x:c r="K43" s="4"/>
      <x:c r="L43" s="4"/>
      <x:c r="M43" s="4"/>
    </x:row>
    <x:row r="44" ht="25" customHeight="1">
      <x:c r="A44" s="3" t="str">
        <x:v>السيولة الافتتاحية</x:v>
      </x:c>
      <x:c r="B44" s="11" t="n">
        <x:f>B17*B21</x:f>
        <x:v>60000</x:v>
      </x:c>
      <x:c r="C44" s="4"/>
      <x:c r="D44" s="4"/>
      <x:c r="E44" s="4"/>
      <x:c r="F44" s="4"/>
      <x:c r="G44" s="4"/>
      <x:c r="H44" s="4"/>
      <x:c r="I44" s="4"/>
      <x:c r="J44" s="4"/>
      <x:c r="K44" s="4"/>
      <x:c r="L44" s="4"/>
      <x:c r="M44" s="4"/>
    </x:row>
    <x:row r="45" ht="25" customHeight="1">
      <x:c r="A45" s="3" t="str">
        <x:v>مظروف التمويل مع هامش الضريبة</x:v>
      </x:c>
      <x:c r="B45" s="11" t="n">
        <x:f>B43+B22</x:f>
        <x:v>210000</x:v>
      </x:c>
      <x:c r="C45" s="4"/>
      <x:c r="D45" s="4"/>
      <x:c r="E45" s="4"/>
      <x:c r="F45" s="4"/>
      <x:c r="G45" s="4"/>
      <x:c r="H45" s="4"/>
      <x:c r="I45" s="4"/>
      <x:c r="J45" s="4"/>
      <x:c r="K45" s="4"/>
      <x:c r="L45" s="4"/>
      <x:c r="M45" s="4"/>
    </x:row>
    <x:row r="46" ht="25" customHeight="1">
      <x:c r="A46" s="3"/>
      <x:c r="B46" s="4"/>
      <x:c r="C46" s="4"/>
      <x:c r="D46" s="4"/>
      <x:c r="E46" s="4"/>
      <x:c r="F46" s="4"/>
      <x:c r="G46" s="4"/>
      <x:c r="H46" s="4"/>
      <x:c r="I46" s="4"/>
      <x:c r="J46" s="4"/>
      <x:c r="K46" s="4"/>
      <x:c r="L46" s="4"/>
      <x:c r="M46" s="4"/>
    </x:row>
    <x:row r="47" ht="25" customHeight="1">
      <x:c r="A47" s="3"/>
      <x:c r="B47" s="4"/>
      <x:c r="C47" s="4"/>
      <x:c r="D47" s="4"/>
      <x:c r="E47" s="4"/>
      <x:c r="F47" s="4"/>
      <x:c r="G47" s="4"/>
      <x:c r="H47" s="4"/>
      <x:c r="I47" s="4"/>
      <x:c r="J47" s="4"/>
      <x:c r="K47" s="4"/>
      <x:c r="L47" s="4"/>
      <x:c r="M47" s="4"/>
    </x:row>
    <x:row r="48" ht="30" customHeight="1">
      <x:c r="A48" s="6" t="str">
        <x:v>خطة الطلبات والاستلام — عدل كليهما عند تغيير الحجم أو المورد</x:v>
      </x:c>
      <x:c r="B48" s="15"/>
      <x:c r="C48" s="15"/>
      <x:c r="D48" s="15"/>
      <x:c r="E48" s="15"/>
      <x:c r="F48" s="15"/>
      <x:c r="G48" s="15"/>
      <x:c r="H48" s="15"/>
      <x:c r="I48" s="15"/>
      <x:c r="J48" s="15"/>
      <x:c r="K48" s="15"/>
      <x:c r="L48" s="15"/>
      <x:c r="M48" s="15"/>
    </x:row>
    <x:row r="49" ht="25" customHeight="1">
      <x:c r="A49" s="3"/>
      <x:c r="B49" s="4"/>
      <x:c r="C49" s="4"/>
      <x:c r="D49" s="4"/>
      <x:c r="E49" s="4"/>
      <x:c r="F49" s="4"/>
      <x:c r="G49" s="4"/>
      <x:c r="H49" s="4"/>
      <x:c r="I49" s="4"/>
      <x:c r="J49" s="4"/>
      <x:c r="K49" s="4"/>
      <x:c r="L49" s="4"/>
      <x:c r="M49" s="4"/>
    </x:row>
    <x:row r="50" ht="25" customHeight="1">
      <x:c r="A50" s="3" t="str">
        <x:v>الشهر</x:v>
      </x:c>
      <x:c r="B50" s="4" t="n">
        <x:v>1</x:v>
      </x:c>
      <x:c r="C50" s="4" t="n">
        <x:v>2</x:v>
      </x:c>
      <x:c r="D50" s="4" t="n">
        <x:v>3</x:v>
      </x:c>
      <x:c r="E50" s="4" t="n">
        <x:v>4</x:v>
      </x:c>
      <x:c r="F50" s="4" t="n">
        <x:v>5</x:v>
      </x:c>
      <x:c r="G50" s="4" t="n">
        <x:v>6</x:v>
      </x:c>
      <x:c r="H50" s="4" t="n">
        <x:v>7</x:v>
      </x:c>
      <x:c r="I50" s="4" t="n">
        <x:v>8</x:v>
      </x:c>
      <x:c r="J50" s="4" t="n">
        <x:v>9</x:v>
      </x:c>
      <x:c r="K50" s="4" t="n">
        <x:v>10</x:v>
      </x:c>
      <x:c r="L50" s="4" t="n">
        <x:v>11</x:v>
      </x:c>
      <x:c r="M50" s="4" t="n">
        <x:v>12</x:v>
      </x:c>
    </x:row>
    <x:row r="51" ht="25" customHeight="1">
      <x:c r="A51" s="3" t="str">
        <x:v>الطلبات المشحونة</x:v>
      </x:c>
      <x:c r="B51" s="10" t="n">
        <x:v>150</x:v>
      </x:c>
      <x:c r="C51" s="10" t="n">
        <x:v>180</x:v>
      </x:c>
      <x:c r="D51" s="10" t="n">
        <x:v>220</x:v>
      </x:c>
      <x:c r="E51" s="10" t="n">
        <x:v>250</x:v>
      </x:c>
      <x:c r="F51" s="10" t="n">
        <x:v>280</x:v>
      </x:c>
      <x:c r="G51" s="10" t="n">
        <x:v>300</x:v>
      </x:c>
      <x:c r="H51" s="10" t="n">
        <x:v>320</x:v>
      </x:c>
      <x:c r="I51" s="10" t="n">
        <x:v>340</x:v>
      </x:c>
      <x:c r="J51" s="10" t="n">
        <x:v>360</x:v>
      </x:c>
      <x:c r="K51" s="10" t="n">
        <x:v>380</x:v>
      </x:c>
      <x:c r="L51" s="10" t="n">
        <x:v>420</x:v>
      </x:c>
      <x:c r="M51" s="10" t="n">
        <x:v>450</x:v>
      </x:c>
    </x:row>
    <x:row r="52" ht="25" customHeight="1">
      <x:c r="A52" s="3" t="str">
        <x:v>استلام دفعات — عبوات</x:v>
      </x:c>
      <x:c r="B52" s="10" t="n">
        <x:v>0</x:v>
      </x:c>
      <x:c r="C52" s="10" t="n">
        <x:v>0</x:v>
      </x:c>
      <x:c r="D52" s="10" t="n">
        <x:v>0</x:v>
      </x:c>
      <x:c r="E52" s="10" t="n">
        <x:v>1000</x:v>
      </x:c>
      <x:c r="F52" s="10" t="n">
        <x:v>0</x:v>
      </x:c>
      <x:c r="G52" s="10" t="n">
        <x:v>0</x:v>
      </x:c>
      <x:c r="H52" s="10" t="n">
        <x:v>1000</x:v>
      </x:c>
      <x:c r="I52" s="10" t="n">
        <x:v>0</x:v>
      </x:c>
      <x:c r="J52" s="10" t="n">
        <x:v>0</x:v>
      </x:c>
      <x:c r="K52" s="10" t="n">
        <x:v>1000</x:v>
      </x:c>
      <x:c r="L52" s="10" t="n">
        <x:v>0</x:v>
      </x:c>
      <x:c r="M52" s="10" t="n">
        <x:v>0</x:v>
      </x:c>
    </x:row>
    <x:row r="53" ht="25" customHeight="1">
      <x:c r="A53" s="3"/>
      <x:c r="B53" s="4"/>
      <x:c r="C53" s="4"/>
      <x:c r="D53" s="4"/>
      <x:c r="E53" s="4"/>
      <x:c r="F53" s="4"/>
      <x:c r="G53" s="4"/>
      <x:c r="H53" s="4"/>
      <x:c r="I53" s="4"/>
      <x:c r="J53" s="4"/>
      <x:c r="K53" s="4"/>
      <x:c r="L53" s="4"/>
      <x:c r="M53" s="4"/>
    </x:row>
    <x:row r="54" ht="25" customHeight="1">
      <x:c r="A54" s="16" t="str">
        <x:v>الطلب = عبوة واحدة 50 مل. الاستلام في بداية الشهر والشحن على مدار الشهر. الخطة الشهرية لا تختبر نفاد المخزون داخل اليوم. عند تقديم موعد توريد إلى بداية السنة راجع أي دفعات مقدمة قبل الشهر الأول، وأضفها للتمويل.</x:v>
      </x:c>
      <x:c r="B54" s="17"/>
      <x:c r="C54" s="17"/>
      <x:c r="D54" s="17"/>
      <x:c r="E54" s="17"/>
      <x:c r="F54" s="17"/>
      <x:c r="G54" s="17"/>
      <x:c r="H54" s="17"/>
      <x:c r="I54" s="17"/>
      <x:c r="J54" s="17"/>
      <x:c r="K54" s="17"/>
      <x:c r="L54" s="17"/>
      <x:c r="M54" s="17"/>
    </x:row>
    <x:row r="55" ht="25" customHeight="1">
      <x:c r="A55" s="16"/>
      <x:c r="B55" s="17"/>
      <x:c r="C55" s="17"/>
      <x:c r="D55" s="17"/>
      <x:c r="E55" s="17"/>
      <x:c r="F55" s="17"/>
      <x:c r="G55" s="17"/>
      <x:c r="H55" s="17"/>
      <x:c r="I55" s="17"/>
      <x:c r="J55" s="17"/>
      <x:c r="K55" s="17"/>
      <x:c r="L55" s="17"/>
      <x:c r="M55" s="17"/>
    </x:row>
    <x:row r="56" ht="25" customHeight="1">
      <x:c r="A56" s="16"/>
      <x:c r="B56" s="17"/>
      <x:c r="C56" s="17"/>
      <x:c r="D56" s="17"/>
      <x:c r="E56" s="17"/>
      <x:c r="F56" s="17"/>
      <x:c r="G56" s="17"/>
      <x:c r="H56" s="17"/>
      <x:c r="I56" s="17"/>
      <x:c r="J56" s="17"/>
      <x:c r="K56" s="17"/>
      <x:c r="L56" s="17"/>
      <x:c r="M56" s="17"/>
    </x:row>
    <x:row r="57" ht="25" customHeight="1">
      <x:c r="A57" s="3"/>
      <x:c r="B57" s="4"/>
      <x:c r="C57" s="4"/>
      <x:c r="D57" s="4"/>
      <x:c r="E57" s="4"/>
      <x:c r="F57" s="4"/>
      <x:c r="G57" s="4"/>
      <x:c r="H57" s="4"/>
      <x:c r="I57" s="4"/>
      <x:c r="J57" s="4"/>
      <x:c r="K57" s="4"/>
      <x:c r="L57" s="4"/>
      <x:c r="M57" s="4"/>
    </x:row>
    <x:row r="58" ht="25" customHeight="1">
      <x:c r="A58" s="3"/>
      <x:c r="B58" s="4"/>
      <x:c r="C58" s="4"/>
      <x:c r="D58" s="4"/>
      <x:c r="E58" s="4"/>
      <x:c r="F58" s="4"/>
      <x:c r="G58" s="4"/>
      <x:c r="H58" s="4"/>
      <x:c r="I58" s="4"/>
      <x:c r="J58" s="4"/>
      <x:c r="K58" s="4"/>
      <x:c r="L58" s="4"/>
      <x:c r="M58" s="4"/>
    </x:row>
    <x:row r="59" ht="25" customHeight="1">
      <x:c r="A59" s="3"/>
      <x:c r="B59" s="4"/>
      <x:c r="C59" s="4"/>
      <x:c r="D59" s="4"/>
      <x:c r="E59" s="4"/>
      <x:c r="F59" s="4"/>
      <x:c r="G59" s="4"/>
      <x:c r="H59" s="4"/>
      <x:c r="I59" s="4"/>
      <x:c r="J59" s="4"/>
      <x:c r="K59" s="4"/>
      <x:c r="L59" s="4"/>
      <x:c r="M59" s="4"/>
    </x:row>
    <x:row r="60" ht="25" customHeight="1">
      <x:c r="A60" s="3"/>
      <x:c r="B60" s="4"/>
      <x:c r="C60" s="4"/>
      <x:c r="D60" s="4"/>
      <x:c r="E60" s="4"/>
      <x:c r="F60" s="4"/>
      <x:c r="G60" s="4"/>
      <x:c r="H60" s="4"/>
      <x:c r="I60" s="4"/>
      <x:c r="J60" s="4"/>
      <x:c r="K60" s="4"/>
      <x:c r="L60" s="4"/>
      <x:c r="M60" s="4"/>
    </x:row>
  </x:sheetData>
  <x:mergeCells>
    <x:mergeCell ref="A1:D1"/>
    <x:mergeCell ref="A2:D3"/>
    <x:mergeCell ref="A35:D35"/>
    <x:mergeCell ref="A48:M48"/>
    <x:mergeCell ref="A54:M56"/>
  </x:mergeCells>
  <x:dataValidations count="2">
    <x:dataValidation type="whole" operator="between" sqref="B24">
      <x:formula1>0</x:formula1>
      <x:formula2>3</x:formula2>
    </x:dataValidation>
    <x:dataValidation type="whole" operator="greaterThanOrEqual" sqref="B51:M52">
      <x:formula1>0</x:formula1>
    </x:dataValidation>
  </x:dataValidations>
  <x:pageMargins left="0.7" right="0.7" top="0.75" bottom="0.75" header="0.3" footer="0.3"/>
  <x:legacyDrawing xmlns:r="http://schemas.openxmlformats.org/officeDocument/2006/relationships" r:id="R832059e86e2b4571"/>
</x:worksheet>
</file>

<file path=xl/worksheets/sheet3.xml><?xml version="1.0" encoding="utf-8"?>
<x:worksheet xmlns:x="http://schemas.openxmlformats.org/spreadsheetml/2006/main">
  <x:sheetViews>
    <x:sheetView showGridLines="0" workbookViewId="0"/>
  </x:sheetViews>
  <x:sheetFormatPr defaultRowHeight="15"/>
  <x:cols>
    <x:col min="1" max="1" width="33.33000183105469" hidden="0" customWidth="1"/>
    <x:col min="2" max="2" width="19.440000534057617" hidden="0" customWidth="1"/>
    <x:col min="3" max="3" width="19.440000534057617" hidden="0" customWidth="1"/>
    <x:col min="4" max="4" width="19.440000534057617" hidden="0" customWidth="1"/>
  </x:cols>
  <x:sheetData>
    <x:row r="1" ht="30" customHeight="1">
      <x:c r="A1" s="6" t="str">
        <x:v>AEVU | إيڤو — التكاليف</x:v>
      </x:c>
      <x:c r="B1" s="6"/>
      <x:c r="C1" s="6"/>
      <x:c r="D1" s="6"/>
      <x:c r="E1" s="3"/>
      <x:c r="F1" s="3"/>
      <x:c r="G1" s="3"/>
      <x:c r="H1" s="3"/>
      <x:c r="I1" s="3"/>
      <x:c r="J1" s="3"/>
      <x:c r="K1" s="3"/>
      <x:c r="L1" s="3"/>
      <x:c r="M1" s="3"/>
    </x:row>
    <x:row r="2" ht="25" customHeight="1">
      <x:c r="A2" s="8" t="str">
        <x:v>دراسة تصورية • 7 سبتمبر 2026 • ريال سعودي • المدخلات باللون الأزرق، المعادلات بالأسود، وروابط الأوراق بالأخضر.</x:v>
      </x:c>
      <x:c r="B2" s="8"/>
      <x:c r="C2" s="8"/>
      <x:c r="D2" s="8"/>
      <x:c r="E2" s="3"/>
      <x:c r="F2" s="3"/>
      <x:c r="G2" s="3"/>
      <x:c r="H2" s="3"/>
      <x:c r="I2" s="3"/>
      <x:c r="J2" s="3"/>
      <x:c r="K2" s="3"/>
      <x:c r="L2" s="3"/>
      <x:c r="M2" s="3"/>
    </x:row>
    <x:row r="3" ht="25" customHeight="1">
      <x:c r="A3" s="8"/>
      <x:c r="B3" s="8"/>
      <x:c r="C3" s="8"/>
      <x:c r="D3" s="8"/>
      <x:c r="E3" s="3"/>
      <x:c r="F3" s="3"/>
      <x:c r="G3" s="3"/>
      <x:c r="H3" s="3"/>
      <x:c r="I3" s="3"/>
      <x:c r="J3" s="3"/>
      <x:c r="K3" s="3"/>
      <x:c r="L3" s="3"/>
      <x:c r="M3" s="3"/>
    </x:row>
    <x:row r="4" ht="25" customHeight="1">
      <x:c r="A4" s="3"/>
      <x:c r="B4" s="3"/>
      <x:c r="C4" s="3"/>
      <x:c r="D4" s="3"/>
      <x:c r="E4" s="3"/>
      <x:c r="F4" s="3"/>
      <x:c r="G4" s="3"/>
      <x:c r="H4" s="3"/>
      <x:c r="I4" s="3"/>
      <x:c r="J4" s="3"/>
      <x:c r="K4" s="3"/>
      <x:c r="L4" s="3"/>
      <x:c r="M4" s="3"/>
    </x:row>
    <x:row r="5" ht="30" customHeight="1">
      <x:c r="A5" s="6" t="str">
        <x:v>التأسيس وما قبل التشغيل</x:v>
      </x:c>
      <x:c r="B5" s="6"/>
      <x:c r="C5" s="6"/>
      <x:c r="D5" s="6"/>
      <x:c r="E5" s="3"/>
      <x:c r="F5" s="3"/>
      <x:c r="G5" s="3"/>
      <x:c r="H5" s="3"/>
      <x:c r="I5" s="3"/>
      <x:c r="J5" s="3"/>
      <x:c r="K5" s="3"/>
      <x:c r="L5" s="3"/>
      <x:c r="M5" s="3"/>
    </x:row>
    <x:row r="6" ht="31" customHeight="1">
      <x:c r="A6" s="16" t="str">
        <x:v>تطوير التركيبة والعينات</x:v>
      </x:c>
      <x:c r="B6" s="10" t="n">
        <x:v>20000</x:v>
      </x:c>
      <x:c r="C6" s="4"/>
      <x:c r="D6" s="4"/>
      <x:c r="E6" s="4"/>
      <x:c r="F6" s="4"/>
      <x:c r="G6" s="4"/>
      <x:c r="H6" s="4"/>
      <x:c r="I6" s="4"/>
      <x:c r="J6" s="4"/>
      <x:c r="K6" s="4"/>
      <x:c r="L6" s="4"/>
      <x:c r="M6" s="4"/>
    </x:row>
    <x:row r="7" ht="31" customHeight="1">
      <x:c r="A7" s="16" t="str">
        <x:v>الهوية والمتجر والتصوير</x:v>
      </x:c>
      <x:c r="B7" s="10" t="n">
        <x:v>15000</x:v>
      </x:c>
      <x:c r="C7" s="4"/>
      <x:c r="D7" s="4"/>
      <x:c r="E7" s="4"/>
      <x:c r="F7" s="4"/>
      <x:c r="G7" s="4"/>
      <x:c r="H7" s="4"/>
      <x:c r="I7" s="4"/>
      <x:c r="J7" s="4"/>
      <x:c r="K7" s="4"/>
      <x:c r="L7" s="4"/>
      <x:c r="M7" s="4"/>
    </x:row>
    <x:row r="8" ht="31" customHeight="1">
      <x:c r="A8" s="16" t="str">
        <x:v>نماذج التغليف والطباعة</x:v>
      </x:c>
      <x:c r="B8" s="10" t="n">
        <x:v>8000</x:v>
      </x:c>
      <x:c r="C8" s="4"/>
      <x:c r="D8" s="4"/>
      <x:c r="E8" s="4"/>
      <x:c r="F8" s="4"/>
      <x:c r="G8" s="4"/>
      <x:c r="H8" s="4"/>
      <x:c r="I8" s="4"/>
      <x:c r="J8" s="4"/>
      <x:c r="K8" s="4"/>
      <x:c r="L8" s="4"/>
      <x:c r="M8" s="4"/>
    </x:row>
    <x:row r="9" ht="31" customHeight="1">
      <x:c r="A9" s="16" t="str">
        <x:v>تسجيل العلامة: طلب واحد وفئة واحدة</x:v>
      </x:c>
      <x:c r="B9" s="10" t="n">
        <x:v>6500</x:v>
      </x:c>
      <x:c r="C9" s="4"/>
      <x:c r="D9" s="4"/>
      <x:c r="E9" s="4"/>
      <x:c r="F9" s="4"/>
      <x:c r="G9" s="4"/>
      <x:c r="H9" s="4"/>
      <x:c r="I9" s="4"/>
      <x:c r="J9" s="4"/>
      <x:c r="K9" s="4"/>
      <x:c r="L9" s="4"/>
      <x:c r="M9" s="4"/>
    </x:row>
    <x:row r="10" ht="31" customHeight="1">
      <x:c r="A10" s="16" t="str">
        <x:v>اختبارات الجودة والتوافق</x:v>
      </x:c>
      <x:c r="B10" s="10" t="n">
        <x:v>4000</x:v>
      </x:c>
      <x:c r="C10" s="4"/>
      <x:c r="D10" s="4"/>
      <x:c r="E10" s="4"/>
      <x:c r="F10" s="4"/>
      <x:c r="G10" s="4"/>
      <x:c r="H10" s="4"/>
      <x:c r="I10" s="4"/>
      <x:c r="J10" s="4"/>
      <x:c r="K10" s="4"/>
      <x:c r="L10" s="4"/>
      <x:c r="M10" s="4"/>
    </x:row>
    <x:row r="11" ht="31" customHeight="1">
      <x:c r="A11" s="16" t="str">
        <x:v>عقود وإجراءات وتجهيز الإدراج</x:v>
      </x:c>
      <x:c r="B11" s="10" t="n">
        <x:v>5500</x:v>
      </x:c>
      <x:c r="C11" s="4"/>
      <x:c r="D11" s="4"/>
      <x:c r="E11" s="4"/>
      <x:c r="F11" s="4"/>
      <x:c r="G11" s="4"/>
      <x:c r="H11" s="4"/>
      <x:c r="I11" s="4"/>
      <x:c r="J11" s="4"/>
      <x:c r="K11" s="4"/>
      <x:c r="L11" s="4"/>
      <x:c r="M11" s="4"/>
    </x:row>
    <x:row r="12" ht="31" customHeight="1">
      <x:c r="A12" s="16" t="str">
        <x:v>تجربة ما قبل الإطلاق</x:v>
      </x:c>
      <x:c r="B12" s="10" t="n">
        <x:v>8000</x:v>
      </x:c>
      <x:c r="C12" s="4"/>
      <x:c r="D12" s="4"/>
      <x:c r="E12" s="4"/>
      <x:c r="F12" s="4"/>
      <x:c r="G12" s="4"/>
      <x:c r="H12" s="4"/>
      <x:c r="I12" s="4"/>
      <x:c r="J12" s="4"/>
      <x:c r="K12" s="4"/>
      <x:c r="L12" s="4"/>
      <x:c r="M12" s="4"/>
    </x:row>
    <x:row r="13" ht="31" customHeight="1">
      <x:c r="A13" s="16" t="str">
        <x:v>احتياطي تجاوز التأسيس</x:v>
      </x:c>
      <x:c r="B13" s="10" t="n">
        <x:v>8000</x:v>
      </x:c>
      <x:c r="C13" s="4"/>
      <x:c r="D13" s="4"/>
      <x:c r="E13" s="4"/>
      <x:c r="F13" s="4"/>
      <x:c r="G13" s="4"/>
      <x:c r="H13" s="4"/>
      <x:c r="I13" s="4"/>
      <x:c r="J13" s="4"/>
      <x:c r="K13" s="4"/>
      <x:c r="L13" s="4"/>
      <x:c r="M13" s="4"/>
    </x:row>
    <x:row r="14" ht="31" customHeight="1">
      <x:c r="A14" s="8" t="str">
        <x:v>الإجمالي</x:v>
      </x:c>
      <x:c r="B14" s="12" t="n">
        <x:f>SUM(B6:B13)</x:f>
        <x:v>75000</x:v>
      </x:c>
      <x:c r="C14" s="13"/>
      <x:c r="D14" s="13"/>
      <x:c r="E14" s="4"/>
      <x:c r="F14" s="4"/>
      <x:c r="G14" s="4"/>
      <x:c r="H14" s="4"/>
      <x:c r="I14" s="4"/>
      <x:c r="J14" s="4"/>
      <x:c r="K14" s="4"/>
      <x:c r="L14" s="4"/>
      <x:c r="M14" s="4"/>
    </x:row>
    <x:row r="15" ht="31" customHeight="1">
      <x:c r="A15" s="16"/>
      <x:c r="B15" s="4"/>
      <x:c r="C15" s="4"/>
      <x:c r="D15" s="4"/>
      <x:c r="E15" s="4"/>
      <x:c r="F15" s="4"/>
      <x:c r="G15" s="4"/>
      <x:c r="H15" s="4"/>
      <x:c r="I15" s="4"/>
      <x:c r="J15" s="4"/>
      <x:c r="K15" s="4"/>
      <x:c r="L15" s="4"/>
      <x:c r="M15" s="4"/>
    </x:row>
    <x:row r="16" ht="31" customHeight="1">
      <x:c r="A16" s="18" t="str">
        <x:v>التكلفة الثابتة الشهرية</x:v>
      </x:c>
      <x:c r="B16" s="15"/>
      <x:c r="C16" s="15"/>
      <x:c r="D16" s="15"/>
      <x:c r="E16" s="4"/>
      <x:c r="F16" s="4"/>
      <x:c r="G16" s="4"/>
      <x:c r="H16" s="4"/>
      <x:c r="I16" s="4"/>
      <x:c r="J16" s="4"/>
      <x:c r="K16" s="4"/>
      <x:c r="L16" s="4"/>
      <x:c r="M16" s="4"/>
    </x:row>
    <x:row r="17" ht="31" customHeight="1">
      <x:c r="A17" s="16" t="str">
        <x:v>أجر المؤسس العامل</x:v>
      </x:c>
      <x:c r="B17" s="10" t="n">
        <x:v>6000</x:v>
      </x:c>
      <x:c r="C17" s="4"/>
      <x:c r="D17" s="4"/>
      <x:c r="E17" s="4"/>
      <x:c r="F17" s="4"/>
      <x:c r="G17" s="4"/>
      <x:c r="H17" s="4"/>
      <x:c r="I17" s="4"/>
      <x:c r="J17" s="4"/>
      <x:c r="K17" s="4"/>
      <x:c r="L17" s="4"/>
      <x:c r="M17" s="4"/>
    </x:row>
    <x:row r="18" ht="31" customHeight="1">
      <x:c r="A18" s="16" t="str">
        <x:v>خدمة عملاء بدوام جزئي</x:v>
      </x:c>
      <x:c r="B18" s="10" t="n">
        <x:v>2000</x:v>
      </x:c>
      <x:c r="C18" s="4"/>
      <x:c r="D18" s="4"/>
      <x:c r="E18" s="4"/>
      <x:c r="F18" s="4"/>
      <x:c r="G18" s="4"/>
      <x:c r="H18" s="4"/>
      <x:c r="I18" s="4"/>
      <x:c r="J18" s="4"/>
      <x:c r="K18" s="4"/>
      <x:c r="L18" s="4"/>
      <x:c r="M18" s="4"/>
    </x:row>
    <x:row r="19" ht="31" customHeight="1">
      <x:c r="A19" s="16" t="str">
        <x:v>تخزين أساسي</x:v>
      </x:c>
      <x:c r="B19" s="10" t="n">
        <x:v>1000</x:v>
      </x:c>
      <x:c r="C19" s="4"/>
      <x:c r="D19" s="4"/>
      <x:c r="E19" s="4"/>
      <x:c r="F19" s="4"/>
      <x:c r="G19" s="4"/>
      <x:c r="H19" s="4"/>
      <x:c r="I19" s="4"/>
      <x:c r="J19" s="4"/>
      <x:c r="K19" s="4"/>
      <x:c r="L19" s="4"/>
      <x:c r="M19" s="4"/>
    </x:row>
    <x:row r="20" ht="31" customHeight="1">
      <x:c r="A20" s="16" t="str">
        <x:v>إنتاج محتوى مستمر</x:v>
      </x:c>
      <x:c r="B20" s="10" t="n">
        <x:v>2000</x:v>
      </x:c>
      <x:c r="C20" s="4"/>
      <x:c r="D20" s="4"/>
      <x:c r="E20" s="4"/>
      <x:c r="F20" s="4"/>
      <x:c r="G20" s="4"/>
      <x:c r="H20" s="4"/>
      <x:c r="I20" s="4"/>
      <x:c r="J20" s="4"/>
      <x:c r="K20" s="4"/>
      <x:c r="L20" s="4"/>
      <x:c r="M20" s="4"/>
    </x:row>
    <x:row r="21" ht="31" customHeight="1">
      <x:c r="A21" s="16" t="str">
        <x:v>منصة وأنظمة</x:v>
      </x:c>
      <x:c r="B21" s="10" t="n">
        <x:v>500</x:v>
      </x:c>
      <x:c r="C21" s="4"/>
      <x:c r="D21" s="4"/>
      <x:c r="E21" s="4"/>
      <x:c r="F21" s="4"/>
      <x:c r="G21" s="4"/>
      <x:c r="H21" s="4"/>
      <x:c r="I21" s="4"/>
      <x:c r="J21" s="4"/>
      <x:c r="K21" s="4"/>
      <x:c r="L21" s="4"/>
      <x:c r="M21" s="4"/>
    </x:row>
    <x:row r="22" ht="31" customHeight="1">
      <x:c r="A22" s="16" t="str">
        <x:v>محاسبة وإدارة</x:v>
      </x:c>
      <x:c r="B22" s="10" t="n">
        <x:v>1000</x:v>
      </x:c>
      <x:c r="C22" s="4"/>
      <x:c r="D22" s="4"/>
      <x:c r="E22" s="4"/>
      <x:c r="F22" s="4"/>
      <x:c r="G22" s="4"/>
      <x:c r="H22" s="4"/>
      <x:c r="I22" s="4"/>
      <x:c r="J22" s="4"/>
      <x:c r="K22" s="4"/>
      <x:c r="L22" s="4"/>
      <x:c r="M22" s="4"/>
    </x:row>
    <x:row r="23" ht="31" customHeight="1">
      <x:c r="A23" s="16" t="str">
        <x:v>جودة وتأمين تقديري</x:v>
      </x:c>
      <x:c r="B23" s="10" t="n">
        <x:v>1000</x:v>
      </x:c>
      <x:c r="C23" s="4"/>
      <x:c r="D23" s="4"/>
      <x:c r="E23" s="4"/>
      <x:c r="F23" s="4"/>
      <x:c r="G23" s="4"/>
      <x:c r="H23" s="4"/>
      <x:c r="I23" s="4"/>
      <x:c r="J23" s="4"/>
      <x:c r="K23" s="4"/>
      <x:c r="L23" s="4"/>
      <x:c r="M23" s="4"/>
    </x:row>
    <x:row r="24" ht="31" customHeight="1">
      <x:c r="A24" s="16" t="str">
        <x:v>مصاريف مساندة</x:v>
      </x:c>
      <x:c r="B24" s="10" t="n">
        <x:v>1500</x:v>
      </x:c>
      <x:c r="C24" s="4"/>
      <x:c r="D24" s="4"/>
      <x:c r="E24" s="4"/>
      <x:c r="F24" s="4"/>
      <x:c r="G24" s="4"/>
      <x:c r="H24" s="4"/>
      <x:c r="I24" s="4"/>
      <x:c r="J24" s="4"/>
      <x:c r="K24" s="4"/>
      <x:c r="L24" s="4"/>
      <x:c r="M24" s="4"/>
    </x:row>
    <x:row r="25" ht="31" customHeight="1">
      <x:c r="A25" s="8" t="str">
        <x:v>الإجمالي</x:v>
      </x:c>
      <x:c r="B25" s="12" t="n">
        <x:f>SUM(B17:B24)</x:f>
        <x:v>15000</x:v>
      </x:c>
      <x:c r="C25" s="13"/>
      <x:c r="D25" s="13"/>
      <x:c r="E25" s="4"/>
      <x:c r="F25" s="4"/>
      <x:c r="G25" s="4"/>
      <x:c r="H25" s="4"/>
      <x:c r="I25" s="4"/>
      <x:c r="J25" s="4"/>
      <x:c r="K25" s="4"/>
      <x:c r="L25" s="4"/>
      <x:c r="M25" s="4"/>
    </x:row>
    <x:row r="26" ht="31" customHeight="1">
      <x:c r="A26" s="16"/>
      <x:c r="B26" s="4"/>
      <x:c r="C26" s="4"/>
      <x:c r="D26" s="4"/>
      <x:c r="E26" s="4"/>
      <x:c r="F26" s="4"/>
      <x:c r="G26" s="4"/>
      <x:c r="H26" s="4"/>
      <x:c r="I26" s="4"/>
      <x:c r="J26" s="4"/>
      <x:c r="K26" s="4"/>
      <x:c r="L26" s="4"/>
      <x:c r="M26" s="4"/>
    </x:row>
    <x:row r="27" ht="31" customHeight="1">
      <x:c r="A27" s="18" t="str">
        <x:v>تكلفة تصنيع العبوة الواحدة</x:v>
      </x:c>
      <x:c r="B27" s="15"/>
      <x:c r="C27" s="15"/>
      <x:c r="D27" s="15"/>
      <x:c r="E27" s="4"/>
      <x:c r="F27" s="4"/>
      <x:c r="G27" s="4"/>
      <x:c r="H27" s="4"/>
      <x:c r="I27" s="4"/>
      <x:c r="J27" s="4"/>
      <x:c r="K27" s="4"/>
      <x:c r="L27" s="4"/>
      <x:c r="M27" s="4"/>
    </x:row>
    <x:row r="28" ht="31" customHeight="1">
      <x:c r="A28" s="16" t="str">
        <x:v>مركز عطري</x:v>
      </x:c>
      <x:c r="B28" s="10" t="n">
        <x:v>18</x:v>
      </x:c>
      <x:c r="C28" s="4"/>
      <x:c r="D28" s="4"/>
      <x:c r="E28" s="4"/>
      <x:c r="F28" s="4"/>
      <x:c r="G28" s="4"/>
      <x:c r="H28" s="4"/>
      <x:c r="I28" s="4"/>
      <x:c r="J28" s="4"/>
      <x:c r="K28" s="4"/>
      <x:c r="L28" s="4"/>
      <x:c r="M28" s="4"/>
    </x:row>
    <x:row r="29" ht="31" customHeight="1">
      <x:c r="A29" s="16" t="str">
        <x:v>كحول وتعبئة</x:v>
      </x:c>
      <x:c r="B29" s="10" t="n">
        <x:v>8</x:v>
      </x:c>
      <x:c r="C29" s="4"/>
      <x:c r="D29" s="4"/>
      <x:c r="E29" s="4"/>
      <x:c r="F29" s="4"/>
      <x:c r="G29" s="4"/>
      <x:c r="H29" s="4"/>
      <x:c r="I29" s="4"/>
      <x:c r="J29" s="4"/>
      <x:c r="K29" s="4"/>
      <x:c r="L29" s="4"/>
      <x:c r="M29" s="4"/>
    </x:row>
    <x:row r="30" ht="31" customHeight="1">
      <x:c r="A30" s="16" t="str">
        <x:v>زجاجة وبخاخ وغطاء</x:v>
      </x:c>
      <x:c r="B30" s="10" t="n">
        <x:v>18</x:v>
      </x:c>
      <x:c r="C30" s="4"/>
      <x:c r="D30" s="4"/>
      <x:c r="E30" s="4"/>
      <x:c r="F30" s="4"/>
      <x:c r="G30" s="4"/>
      <x:c r="H30" s="4"/>
      <x:c r="I30" s="4"/>
      <x:c r="J30" s="4"/>
      <x:c r="K30" s="4"/>
      <x:c r="L30" s="4"/>
      <x:c r="M30" s="4"/>
    </x:row>
    <x:row r="31" ht="31" customHeight="1">
      <x:c r="A31" s="16" t="str">
        <x:v>علبة وطباعة</x:v>
      </x:c>
      <x:c r="B31" s="10" t="n">
        <x:v>10</x:v>
      </x:c>
      <x:c r="C31" s="4"/>
      <x:c r="D31" s="4"/>
      <x:c r="E31" s="4"/>
      <x:c r="F31" s="4"/>
      <x:c r="G31" s="4"/>
      <x:c r="H31" s="4"/>
      <x:c r="I31" s="4"/>
      <x:c r="J31" s="4"/>
      <x:c r="K31" s="4"/>
      <x:c r="L31" s="4"/>
      <x:c r="M31" s="4"/>
    </x:row>
    <x:row r="32" ht="31" customHeight="1">
      <x:c r="A32" s="16" t="str">
        <x:v>فحص ونقل إلى المخزن</x:v>
      </x:c>
      <x:c r="B32" s="10" t="n">
        <x:v>5</x:v>
      </x:c>
      <x:c r="C32" s="4"/>
      <x:c r="D32" s="4"/>
      <x:c r="E32" s="4"/>
      <x:c r="F32" s="4"/>
      <x:c r="G32" s="4"/>
      <x:c r="H32" s="4"/>
      <x:c r="I32" s="4"/>
      <x:c r="J32" s="4"/>
      <x:c r="K32" s="4"/>
      <x:c r="L32" s="4"/>
      <x:c r="M32" s="4"/>
    </x:row>
    <x:row r="33" ht="31" customHeight="1">
      <x:c r="A33" s="16" t="str">
        <x:v>هالك إنتاج مخصص</x:v>
      </x:c>
      <x:c r="B33" s="10" t="n">
        <x:v>3</x:v>
      </x:c>
      <x:c r="C33" s="4"/>
      <x:c r="D33" s="4"/>
      <x:c r="E33" s="4"/>
      <x:c r="F33" s="4"/>
      <x:c r="G33" s="4"/>
      <x:c r="H33" s="4"/>
      <x:c r="I33" s="4"/>
      <x:c r="J33" s="4"/>
      <x:c r="K33" s="4"/>
      <x:c r="L33" s="4"/>
      <x:c r="M33" s="4"/>
    </x:row>
    <x:row r="34" ht="31" customHeight="1">
      <x:c r="A34" s="8" t="str">
        <x:v>الإجمالي</x:v>
      </x:c>
      <x:c r="B34" s="12" t="n">
        <x:f>SUM(B28:B33)</x:f>
        <x:v>62</x:v>
      </x:c>
      <x:c r="C34" s="13"/>
      <x:c r="D34" s="13"/>
      <x:c r="E34" s="4"/>
      <x:c r="F34" s="4"/>
      <x:c r="G34" s="4"/>
      <x:c r="H34" s="4"/>
      <x:c r="I34" s="4"/>
      <x:c r="J34" s="4"/>
      <x:c r="K34" s="4"/>
      <x:c r="L34" s="4"/>
      <x:c r="M34" s="4"/>
    </x:row>
    <x:row r="35" ht="25" customHeight="1">
      <x:c r="A35" s="3"/>
      <x:c r="B35" s="4"/>
      <x:c r="C35" s="4"/>
      <x:c r="D35" s="4"/>
      <x:c r="E35" s="4"/>
      <x:c r="F35" s="4"/>
      <x:c r="G35" s="4"/>
      <x:c r="H35" s="4"/>
      <x:c r="I35" s="4"/>
      <x:c r="J35" s="4"/>
      <x:c r="K35" s="4"/>
      <x:c r="L35" s="4"/>
      <x:c r="M35" s="4"/>
    </x:row>
    <x:row r="36" ht="25" customHeight="1">
      <x:c r="A36" s="3"/>
      <x:c r="B36" s="4"/>
      <x:c r="C36" s="4"/>
      <x:c r="D36" s="4"/>
      <x:c r="E36" s="4"/>
      <x:c r="F36" s="4"/>
      <x:c r="G36" s="4"/>
      <x:c r="H36" s="4"/>
      <x:c r="I36" s="4"/>
      <x:c r="J36" s="4"/>
      <x:c r="K36" s="4"/>
      <x:c r="L36" s="4"/>
      <x:c r="M36" s="4"/>
    </x:row>
    <x:row r="37" ht="25" customHeight="1">
      <x:c r="A37" s="16" t="str">
        <x:v>تكلفة المنتج تشمل العبوة والعلبة مرة واحدة. مبلغ تجهيز الإدراج أتعاب وتجهيز مفترضة؛ خدمة إخطار تسويق مستحضرات التجميل لدى الهيئة معلنة بلا مقابل. الغطاء والزجاج المخصصان في الصور تصور بصري؛ التأسيس لا يشمل قالب زجاج حصري.</x:v>
      </x:c>
      <x:c r="B37" s="17"/>
      <x:c r="C37" s="17"/>
      <x:c r="D37" s="17"/>
      <x:c r="E37" s="4"/>
      <x:c r="F37" s="4"/>
      <x:c r="G37" s="4"/>
      <x:c r="H37" s="4"/>
      <x:c r="I37" s="4"/>
      <x:c r="J37" s="4"/>
      <x:c r="K37" s="4"/>
      <x:c r="L37" s="4"/>
      <x:c r="M37" s="4"/>
    </x:row>
    <x:row r="38" ht="25" customHeight="1">
      <x:c r="A38" s="16"/>
      <x:c r="B38" s="17"/>
      <x:c r="C38" s="17"/>
      <x:c r="D38" s="17"/>
      <x:c r="E38" s="4"/>
      <x:c r="F38" s="4"/>
      <x:c r="G38" s="4"/>
      <x:c r="H38" s="4"/>
      <x:c r="I38" s="4"/>
      <x:c r="J38" s="4"/>
      <x:c r="K38" s="4"/>
      <x:c r="L38" s="4"/>
      <x:c r="M38" s="4"/>
    </x:row>
    <x:row r="39" ht="25" customHeight="1">
      <x:c r="A39" s="16"/>
      <x:c r="B39" s="17"/>
      <x:c r="C39" s="17"/>
      <x:c r="D39" s="17"/>
      <x:c r="E39" s="4"/>
      <x:c r="F39" s="4"/>
      <x:c r="G39" s="4"/>
      <x:c r="H39" s="4"/>
      <x:c r="I39" s="4"/>
      <x:c r="J39" s="4"/>
      <x:c r="K39" s="4"/>
      <x:c r="L39" s="4"/>
      <x:c r="M39" s="4"/>
    </x:row>
    <x:row r="40" ht="25" customHeight="1">
      <x:c r="A40" s="16"/>
      <x:c r="B40" s="17"/>
      <x:c r="C40" s="17"/>
      <x:c r="D40" s="17"/>
      <x:c r="E40" s="4"/>
      <x:c r="F40" s="4"/>
      <x:c r="G40" s="4"/>
      <x:c r="H40" s="4"/>
      <x:c r="I40" s="4"/>
      <x:c r="J40" s="4"/>
      <x:c r="K40" s="4"/>
      <x:c r="L40" s="4"/>
      <x:c r="M40" s="4"/>
    </x:row>
    <x:row r="41" ht="25" customHeight="1">
      <x:c r="A41" s="3"/>
      <x:c r="B41" s="4"/>
      <x:c r="C41" s="4"/>
      <x:c r="D41" s="4"/>
      <x:c r="E41" s="4"/>
      <x:c r="F41" s="4"/>
      <x:c r="G41" s="4"/>
      <x:c r="H41" s="4"/>
      <x:c r="I41" s="4"/>
      <x:c r="J41" s="4"/>
      <x:c r="K41" s="4"/>
      <x:c r="L41" s="4"/>
      <x:c r="M41" s="4"/>
    </x:row>
    <x:row r="42" ht="25" customHeight="1">
      <x:c r="A42" s="3"/>
      <x:c r="B42" s="4"/>
      <x:c r="C42" s="4"/>
      <x:c r="D42" s="4"/>
      <x:c r="E42" s="4"/>
      <x:c r="F42" s="4"/>
      <x:c r="G42" s="4"/>
      <x:c r="H42" s="4"/>
      <x:c r="I42" s="4"/>
      <x:c r="J42" s="4"/>
      <x:c r="K42" s="4"/>
      <x:c r="L42" s="4"/>
      <x:c r="M42" s="4"/>
    </x:row>
    <x:row r="43" ht="25" customHeight="1">
      <x:c r="A43" s="3"/>
      <x:c r="B43" s="4"/>
      <x:c r="C43" s="4"/>
      <x:c r="D43" s="4"/>
      <x:c r="E43" s="4"/>
      <x:c r="F43" s="4"/>
      <x:c r="G43" s="4"/>
      <x:c r="H43" s="4"/>
      <x:c r="I43" s="4"/>
      <x:c r="J43" s="4"/>
      <x:c r="K43" s="4"/>
      <x:c r="L43" s="4"/>
      <x:c r="M43" s="4"/>
    </x:row>
    <x:row r="44" ht="25" customHeight="1">
      <x:c r="A44" s="3"/>
      <x:c r="B44" s="4"/>
      <x:c r="C44" s="4"/>
      <x:c r="D44" s="4"/>
      <x:c r="E44" s="4"/>
      <x:c r="F44" s="4"/>
      <x:c r="G44" s="4"/>
      <x:c r="H44" s="4"/>
      <x:c r="I44" s="4"/>
      <x:c r="J44" s="4"/>
      <x:c r="K44" s="4"/>
      <x:c r="L44" s="4"/>
      <x:c r="M44" s="4"/>
    </x:row>
    <x:row r="45" ht="25" customHeight="1">
      <x:c r="A45" s="3"/>
      <x:c r="B45" s="4"/>
      <x:c r="C45" s="4"/>
      <x:c r="D45" s="4"/>
      <x:c r="E45" s="4"/>
      <x:c r="F45" s="4"/>
      <x:c r="G45" s="4"/>
      <x:c r="H45" s="4"/>
      <x:c r="I45" s="4"/>
      <x:c r="J45" s="4"/>
      <x:c r="K45" s="4"/>
      <x:c r="L45" s="4"/>
      <x:c r="M45" s="4"/>
    </x:row>
    <x:row r="46" ht="25" customHeight="1">
      <x:c r="A46" s="3"/>
      <x:c r="B46" s="4"/>
      <x:c r="C46" s="4"/>
      <x:c r="D46" s="4"/>
      <x:c r="E46" s="4"/>
      <x:c r="F46" s="4"/>
      <x:c r="G46" s="4"/>
      <x:c r="H46" s="4"/>
      <x:c r="I46" s="4"/>
      <x:c r="J46" s="4"/>
      <x:c r="K46" s="4"/>
      <x:c r="L46" s="4"/>
      <x:c r="M46" s="4"/>
    </x:row>
    <x:row r="47" ht="25" customHeight="1">
      <x:c r="A47" s="3"/>
      <x:c r="B47" s="4"/>
      <x:c r="C47" s="4"/>
      <x:c r="D47" s="4"/>
      <x:c r="E47" s="4"/>
      <x:c r="F47" s="4"/>
      <x:c r="G47" s="4"/>
      <x:c r="H47" s="4"/>
      <x:c r="I47" s="4"/>
      <x:c r="J47" s="4"/>
      <x:c r="K47" s="4"/>
      <x:c r="L47" s="4"/>
      <x:c r="M47" s="4"/>
    </x:row>
    <x:row r="48" ht="25" customHeight="1">
      <x:c r="A48" s="3"/>
      <x:c r="B48" s="4"/>
      <x:c r="C48" s="4"/>
      <x:c r="D48" s="4"/>
      <x:c r="E48" s="4"/>
      <x:c r="F48" s="4"/>
      <x:c r="G48" s="4"/>
      <x:c r="H48" s="4"/>
      <x:c r="I48" s="4"/>
      <x:c r="J48" s="4"/>
      <x:c r="K48" s="4"/>
      <x:c r="L48" s="4"/>
      <x:c r="M48" s="4"/>
    </x:row>
    <x:row r="49" ht="25" customHeight="1">
      <x:c r="A49" s="3"/>
      <x:c r="B49" s="4"/>
      <x:c r="C49" s="4"/>
      <x:c r="D49" s="4"/>
      <x:c r="E49" s="4"/>
      <x:c r="F49" s="4"/>
      <x:c r="G49" s="4"/>
      <x:c r="H49" s="4"/>
      <x:c r="I49" s="4"/>
      <x:c r="J49" s="4"/>
      <x:c r="K49" s="4"/>
      <x:c r="L49" s="4"/>
      <x:c r="M49" s="4"/>
    </x:row>
    <x:row r="50" ht="25" customHeight="1">
      <x:c r="A50" s="3"/>
      <x:c r="B50" s="4"/>
      <x:c r="C50" s="4"/>
      <x:c r="D50" s="4"/>
      <x:c r="E50" s="4"/>
      <x:c r="F50" s="4"/>
      <x:c r="G50" s="4"/>
      <x:c r="H50" s="4"/>
      <x:c r="I50" s="4"/>
      <x:c r="J50" s="4"/>
      <x:c r="K50" s="4"/>
      <x:c r="L50" s="4"/>
      <x:c r="M50" s="4"/>
    </x:row>
    <x:row r="51" ht="25" customHeight="1">
      <x:c r="A51" s="3"/>
      <x:c r="B51" s="4"/>
      <x:c r="C51" s="4"/>
      <x:c r="D51" s="4"/>
      <x:c r="E51" s="4"/>
      <x:c r="F51" s="4"/>
      <x:c r="G51" s="4"/>
      <x:c r="H51" s="4"/>
      <x:c r="I51" s="4"/>
      <x:c r="J51" s="4"/>
      <x:c r="K51" s="4"/>
      <x:c r="L51" s="4"/>
      <x:c r="M51" s="4"/>
    </x:row>
    <x:row r="52" ht="25" customHeight="1">
      <x:c r="A52" s="3"/>
      <x:c r="B52" s="4"/>
      <x:c r="C52" s="4"/>
      <x:c r="D52" s="4"/>
      <x:c r="E52" s="4"/>
      <x:c r="F52" s="4"/>
      <x:c r="G52" s="4"/>
      <x:c r="H52" s="4"/>
      <x:c r="I52" s="4"/>
      <x:c r="J52" s="4"/>
      <x:c r="K52" s="4"/>
      <x:c r="L52" s="4"/>
      <x:c r="M52" s="4"/>
    </x:row>
    <x:row r="53" ht="25" customHeight="1">
      <x:c r="A53" s="3"/>
      <x:c r="B53" s="4"/>
      <x:c r="C53" s="4"/>
      <x:c r="D53" s="4"/>
      <x:c r="E53" s="4"/>
      <x:c r="F53" s="4"/>
      <x:c r="G53" s="4"/>
      <x:c r="H53" s="4"/>
      <x:c r="I53" s="4"/>
      <x:c r="J53" s="4"/>
      <x:c r="K53" s="4"/>
      <x:c r="L53" s="4"/>
      <x:c r="M53" s="4"/>
    </x:row>
    <x:row r="54" ht="25" customHeight="1">
      <x:c r="A54" s="3"/>
      <x:c r="B54" s="4"/>
      <x:c r="C54" s="4"/>
      <x:c r="D54" s="4"/>
      <x:c r="E54" s="4"/>
      <x:c r="F54" s="4"/>
      <x:c r="G54" s="4"/>
      <x:c r="H54" s="4"/>
      <x:c r="I54" s="4"/>
      <x:c r="J54" s="4"/>
      <x:c r="K54" s="4"/>
      <x:c r="L54" s="4"/>
      <x:c r="M54" s="4"/>
    </x:row>
    <x:row r="55" ht="25" customHeight="1">
      <x:c r="A55" s="3"/>
      <x:c r="B55" s="4"/>
      <x:c r="C55" s="4"/>
      <x:c r="D55" s="4"/>
      <x:c r="E55" s="4"/>
      <x:c r="F55" s="4"/>
      <x:c r="G55" s="4"/>
      <x:c r="H55" s="4"/>
      <x:c r="I55" s="4"/>
      <x:c r="J55" s="4"/>
      <x:c r="K55" s="4"/>
      <x:c r="L55" s="4"/>
      <x:c r="M55" s="4"/>
    </x:row>
    <x:row r="56" ht="25" customHeight="1">
      <x:c r="A56" s="3"/>
      <x:c r="B56" s="4"/>
      <x:c r="C56" s="4"/>
      <x:c r="D56" s="4"/>
      <x:c r="E56" s="4"/>
      <x:c r="F56" s="4"/>
      <x:c r="G56" s="4"/>
      <x:c r="H56" s="4"/>
      <x:c r="I56" s="4"/>
      <x:c r="J56" s="4"/>
      <x:c r="K56" s="4"/>
      <x:c r="L56" s="4"/>
      <x:c r="M56" s="4"/>
    </x:row>
    <x:row r="57" ht="25" customHeight="1">
      <x:c r="A57" s="3"/>
      <x:c r="B57" s="4"/>
      <x:c r="C57" s="4"/>
      <x:c r="D57" s="4"/>
      <x:c r="E57" s="4"/>
      <x:c r="F57" s="4"/>
      <x:c r="G57" s="4"/>
      <x:c r="H57" s="4"/>
      <x:c r="I57" s="4"/>
      <x:c r="J57" s="4"/>
      <x:c r="K57" s="4"/>
      <x:c r="L57" s="4"/>
      <x:c r="M57" s="4"/>
    </x:row>
    <x:row r="58" ht="25" customHeight="1">
      <x:c r="A58" s="3"/>
      <x:c r="B58" s="4"/>
      <x:c r="C58" s="4"/>
      <x:c r="D58" s="4"/>
      <x:c r="E58" s="4"/>
      <x:c r="F58" s="4"/>
      <x:c r="G58" s="4"/>
      <x:c r="H58" s="4"/>
      <x:c r="I58" s="4"/>
      <x:c r="J58" s="4"/>
      <x:c r="K58" s="4"/>
      <x:c r="L58" s="4"/>
      <x:c r="M58" s="4"/>
    </x:row>
    <x:row r="59" ht="25" customHeight="1">
      <x:c r="A59" s="3"/>
      <x:c r="B59" s="4"/>
      <x:c r="C59" s="4"/>
      <x:c r="D59" s="4"/>
      <x:c r="E59" s="4"/>
      <x:c r="F59" s="4"/>
      <x:c r="G59" s="4"/>
      <x:c r="H59" s="4"/>
      <x:c r="I59" s="4"/>
      <x:c r="J59" s="4"/>
      <x:c r="K59" s="4"/>
      <x:c r="L59" s="4"/>
      <x:c r="M59" s="4"/>
    </x:row>
    <x:row r="60" ht="25" customHeight="1">
      <x:c r="A60" s="3"/>
      <x:c r="B60" s="4"/>
      <x:c r="C60" s="4"/>
      <x:c r="D60" s="4"/>
      <x:c r="E60" s="4"/>
      <x:c r="F60" s="4"/>
      <x:c r="G60" s="4"/>
      <x:c r="H60" s="4"/>
      <x:c r="I60" s="4"/>
      <x:c r="J60" s="4"/>
      <x:c r="K60" s="4"/>
      <x:c r="L60" s="4"/>
      <x:c r="M60" s="4"/>
    </x:row>
  </x:sheetData>
  <x:mergeCells>
    <x:mergeCell ref="A1:D1"/>
    <x:mergeCell ref="A2:D3"/>
    <x:mergeCell ref="A5:D5"/>
    <x:mergeCell ref="A16:D16"/>
    <x:mergeCell ref="A27:D27"/>
    <x:mergeCell ref="A37:D40"/>
  </x:mergeCells>
  <x:pageMargins left="0.7" right="0.7" top="0.75" bottom="0.75" header="0.3" footer="0.3"/>
  <x:legacyDrawing xmlns:r="http://schemas.openxmlformats.org/officeDocument/2006/relationships" r:id="Rb9d282fb7dac44ea"/>
</x:worksheet>
</file>

<file path=xl/worksheets/sheet4.xml><?xml version="1.0" encoding="utf-8"?>
<x:worksheet xmlns:x="http://schemas.openxmlformats.org/spreadsheetml/2006/main">
  <x:sheetViews>
    <x:sheetView showGridLines="0" workbookViewId="0"/>
  </x:sheetViews>
  <x:sheetFormatPr defaultRowHeight="15"/>
  <x:cols>
    <x:col min="1" max="1" width="33.33000183105469"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s>
  <x:sheetData>
    <x:row r="1" ht="30" customHeight="1">
      <x:c r="A1" s="6" t="str">
        <x:v>AEVU | إيڤو — شهري</x:v>
      </x:c>
      <x:c r="B1" s="6"/>
      <x:c r="C1" s="6"/>
      <x:c r="D1" s="6"/>
      <x:c r="E1" s="6"/>
      <x:c r="F1" s="6"/>
      <x:c r="G1" s="6"/>
      <x:c r="H1" s="6"/>
      <x:c r="I1" s="6"/>
      <x:c r="J1" s="6"/>
      <x:c r="K1" s="6"/>
      <x:c r="L1" s="6"/>
      <x:c r="M1" s="6"/>
    </x:row>
    <x:row r="2" ht="25" customHeight="1">
      <x:c r="A2" s="8" t="str">
        <x:v>دراسة تصورية • 7 سبتمبر 2026 • ريال سعودي • المدخلات باللون الأزرق، المعادلات بالأسود، وروابط الأوراق بالأخضر.</x:v>
      </x:c>
      <x:c r="B2" s="8"/>
      <x:c r="C2" s="8"/>
      <x:c r="D2" s="8"/>
      <x:c r="E2" s="3"/>
      <x:c r="F2" s="3"/>
      <x:c r="G2" s="3"/>
      <x:c r="H2" s="3"/>
      <x:c r="I2" s="3"/>
      <x:c r="J2" s="3"/>
      <x:c r="K2" s="3"/>
      <x:c r="L2" s="3"/>
      <x:c r="M2" s="3"/>
    </x:row>
    <x:row r="3" ht="25" customHeight="1">
      <x:c r="A3" s="8"/>
      <x:c r="B3" s="8"/>
      <x:c r="C3" s="8"/>
      <x:c r="D3" s="8"/>
      <x:c r="E3" s="3"/>
      <x:c r="F3" s="3"/>
      <x:c r="G3" s="3"/>
      <x:c r="H3" s="3"/>
      <x:c r="I3" s="3"/>
      <x:c r="J3" s="3"/>
      <x:c r="K3" s="3"/>
      <x:c r="L3" s="3"/>
      <x:c r="M3" s="3"/>
    </x:row>
    <x:row r="4" ht="25" customHeight="1">
      <x:c r="A4" s="3"/>
      <x:c r="B4" s="3"/>
      <x:c r="C4" s="3"/>
      <x:c r="D4" s="3"/>
      <x:c r="E4" s="3"/>
      <x:c r="F4" s="3"/>
      <x:c r="G4" s="3"/>
      <x:c r="H4" s="3"/>
      <x:c r="I4" s="3"/>
      <x:c r="J4" s="3"/>
      <x:c r="K4" s="3"/>
      <x:c r="L4" s="3"/>
      <x:c r="M4" s="3"/>
    </x:row>
    <x:row r="5" ht="25" customHeight="1">
      <x:c r="A5" s="3"/>
      <x:c r="B5" s="3" t="n">
        <x:v>1</x:v>
      </x:c>
      <x:c r="C5" s="3" t="n">
        <x:v>2</x:v>
      </x:c>
      <x:c r="D5" s="3" t="n">
        <x:v>3</x:v>
      </x:c>
      <x:c r="E5" s="3" t="n">
        <x:v>4</x:v>
      </x:c>
      <x:c r="F5" s="3" t="n">
        <x:v>5</x:v>
      </x:c>
      <x:c r="G5" s="3" t="n">
        <x:v>6</x:v>
      </x:c>
      <x:c r="H5" s="3" t="n">
        <x:v>7</x:v>
      </x:c>
      <x:c r="I5" s="3" t="n">
        <x:v>8</x:v>
      </x:c>
      <x:c r="J5" s="3" t="n">
        <x:v>9</x:v>
      </x:c>
      <x:c r="K5" s="3" t="n">
        <x:v>10</x:v>
      </x:c>
      <x:c r="L5" s="3" t="n">
        <x:v>11</x:v>
      </x:c>
      <x:c r="M5" s="3" t="n">
        <x:v>12</x:v>
      </x:c>
    </x:row>
    <x:row r="6" ht="25" customHeight="1">
      <x:c r="A6" s="3" t="str">
        <x:v>طلبات مشحونة</x:v>
      </x:c>
      <x:c r="B6" s="19" t="n">
        <x:f>'الافتراضات'!B51</x:f>
        <x:v>150</x:v>
      </x:c>
      <x:c r="C6" s="19" t="n">
        <x:f>'الافتراضات'!C51</x:f>
        <x:v>180</x:v>
      </x:c>
      <x:c r="D6" s="19" t="n">
        <x:f>'الافتراضات'!D51</x:f>
        <x:v>220</x:v>
      </x:c>
      <x:c r="E6" s="19" t="n">
        <x:f>'الافتراضات'!E51</x:f>
        <x:v>250</x:v>
      </x:c>
      <x:c r="F6" s="19" t="n">
        <x:f>'الافتراضات'!F51</x:f>
        <x:v>280</x:v>
      </x:c>
      <x:c r="G6" s="19" t="n">
        <x:f>'الافتراضات'!G51</x:f>
        <x:v>300</x:v>
      </x:c>
      <x:c r="H6" s="19" t="n">
        <x:f>'الافتراضات'!H51</x:f>
        <x:v>320</x:v>
      </x:c>
      <x:c r="I6" s="19" t="n">
        <x:f>'الافتراضات'!I51</x:f>
        <x:v>340</x:v>
      </x:c>
      <x:c r="J6" s="19" t="n">
        <x:f>'الافتراضات'!J51</x:f>
        <x:v>360</x:v>
      </x:c>
      <x:c r="K6" s="19" t="n">
        <x:f>'الافتراضات'!K51</x:f>
        <x:v>380</x:v>
      </x:c>
      <x:c r="L6" s="19" t="n">
        <x:f>'الافتراضات'!L51</x:f>
        <x:v>420</x:v>
      </x:c>
      <x:c r="M6" s="19" t="n">
        <x:f>'الافتراضات'!M51</x:f>
        <x:v>450</x:v>
      </x:c>
    </x:row>
    <x:row r="7" ht="25" customHeight="1">
      <x:c r="A7" s="3" t="str">
        <x:v>محصل شامل الضريبة بعد الخصم</x:v>
      </x:c>
      <x:c r="B7" s="19" t="n">
        <x:f>B6*'الافتراضات'!$B$36</x:f>
        <x:v>34362</x:v>
      </x:c>
      <x:c r="C7" s="19" t="n">
        <x:f>C6*'الافتراضات'!$B$36</x:f>
        <x:v>41234.4</x:v>
      </x:c>
      <x:c r="D7" s="19" t="n">
        <x:f>D6*'الافتراضات'!$B$36</x:f>
        <x:v>50397.600000000006</x:v>
      </x:c>
      <x:c r="E7" s="19" t="n">
        <x:f>E6*'الافتراضات'!$B$36</x:f>
        <x:v>57270</x:v>
      </x:c>
      <x:c r="F7" s="19" t="n">
        <x:f>F6*'الافتراضات'!$B$36</x:f>
        <x:v>64142.4</x:v>
      </x:c>
      <x:c r="G7" s="19" t="n">
        <x:f>G6*'الافتراضات'!$B$36</x:f>
        <x:v>68724</x:v>
      </x:c>
      <x:c r="H7" s="19" t="n">
        <x:f>H6*'الافتراضات'!$B$36</x:f>
        <x:v>73305.6</x:v>
      </x:c>
      <x:c r="I7" s="19" t="n">
        <x:f>I6*'الافتراضات'!$B$36</x:f>
        <x:v>77887.2</x:v>
      </x:c>
      <x:c r="J7" s="19" t="n">
        <x:f>J6*'الافتراضات'!$B$36</x:f>
        <x:v>82468.8</x:v>
      </x:c>
      <x:c r="K7" s="19" t="n">
        <x:f>K6*'الافتراضات'!$B$36</x:f>
        <x:v>87050.40000000001</x:v>
      </x:c>
      <x:c r="L7" s="19" t="n">
        <x:f>L6*'الافتراضات'!$B$36</x:f>
        <x:v>96213.6</x:v>
      </x:c>
      <x:c r="M7" s="19" t="n">
        <x:f>M6*'الافتراضات'!$B$36</x:f>
        <x:v>103086</x:v>
      </x:c>
    </x:row>
    <x:row r="8" ht="25" customHeight="1">
      <x:c r="A8" s="3" t="str">
        <x:v>إيراد مسترد (خصم)</x:v>
      </x:c>
      <x:c r="B8" s="19" t="n">
        <x:f>-B7*'الافتراضات'!$B$9</x:f>
        <x:v>-687.24</x:v>
      </x:c>
      <x:c r="C8" s="19" t="n">
        <x:f>-C7*'الافتراضات'!$B$9</x:f>
        <x:v>-824.6880000000001</x:v>
      </x:c>
      <x:c r="D8" s="19" t="n">
        <x:f>-D7*'الافتراضات'!$B$9</x:f>
        <x:v>-1007.9520000000001</x:v>
      </x:c>
      <x:c r="E8" s="19" t="n">
        <x:f>-E7*'الافتراضات'!$B$9</x:f>
        <x:v>-1145.4</x:v>
      </x:c>
      <x:c r="F8" s="19" t="n">
        <x:f>-F7*'الافتراضات'!$B$9</x:f>
        <x:v>-1282.848</x:v>
      </x:c>
      <x:c r="G8" s="19" t="n">
        <x:f>-G7*'الافتراضات'!$B$9</x:f>
        <x:v>-1374.48</x:v>
      </x:c>
      <x:c r="H8" s="19" t="n">
        <x:f>-H7*'الافتراضات'!$B$9</x:f>
        <x:v>-1466.112</x:v>
      </x:c>
      <x:c r="I8" s="19" t="n">
        <x:f>-I7*'الافتراضات'!$B$9</x:f>
        <x:v>-1557.744</x:v>
      </x:c>
      <x:c r="J8" s="19" t="n">
        <x:f>-J7*'الافتراضات'!$B$9</x:f>
        <x:v>-1649.3760000000002</x:v>
      </x:c>
      <x:c r="K8" s="19" t="n">
        <x:f>-K7*'الافتراضات'!$B$9</x:f>
        <x:v>-1741.0080000000003</x:v>
      </x:c>
      <x:c r="L8" s="19" t="n">
        <x:f>-L7*'الافتراضات'!$B$9</x:f>
        <x:v>-1924.2720000000002</x:v>
      </x:c>
      <x:c r="M8" s="19" t="n">
        <x:f>-M7*'الافتراضات'!$B$9</x:f>
        <x:v>-2061.7200000000003</x:v>
      </x:c>
    </x:row>
    <x:row r="9" ht="25" customHeight="1">
      <x:c r="A9" s="27" t="str">
        <x:v>إيراد صاف دون الضريبة</x:v>
      </x:c>
      <x:c r="B9" s="28" t="n">
        <x:f>(B7+B8)/(1+'الافتراضات'!$B$7)</x:f>
        <x:v>29282.400000000005</x:v>
      </x:c>
      <x:c r="C9" s="28" t="n">
        <x:f>(C7+C8)/(1+'الافتراضات'!$B$7)</x:f>
        <x:v>35138.880000000005</x:v>
      </x:c>
      <x:c r="D9" s="28" t="n">
        <x:f>(D7+D8)/(1+'الافتراضات'!$B$7)</x:f>
        <x:v>42947.52000000001</x:v>
      </x:c>
      <x:c r="E9" s="28" t="n">
        <x:f>(E7+E8)/(1+'الافتراضات'!$B$7)</x:f>
        <x:v>48804</x:v>
      </x:c>
      <x:c r="F9" s="28" t="n">
        <x:f>(F7+F8)/(1+'الافتراضات'!$B$7)</x:f>
        <x:v>54660.48000000001</x:v>
      </x:c>
      <x:c r="G9" s="28" t="n">
        <x:f>(G7+G8)/(1+'الافتراضات'!$B$7)</x:f>
        <x:v>58564.80000000001</x:v>
      </x:c>
      <x:c r="H9" s="28" t="n">
        <x:f>(H7+H8)/(1+'الافتراضات'!$B$7)</x:f>
        <x:v>62469.12000000002</x:v>
      </x:c>
      <x:c r="I9" s="28" t="n">
        <x:f>(I7+I8)/(1+'الافتراضات'!$B$7)</x:f>
        <x:v>66373.44</x:v>
      </x:c>
      <x:c r="J9" s="28" t="n">
        <x:f>(J7+J8)/(1+'الافتراضات'!$B$7)</x:f>
        <x:v>70277.76000000001</x:v>
      </x:c>
      <x:c r="K9" s="28" t="n">
        <x:f>(K7+K8)/(1+'الافتراضات'!$B$7)</x:f>
        <x:v>74182.08000000002</x:v>
      </x:c>
      <x:c r="L9" s="28" t="n">
        <x:f>(L7+L8)/(1+'الافتراضات'!$B$7)</x:f>
        <x:v>81990.72000000002</x:v>
      </x:c>
      <x:c r="M9" s="28" t="n">
        <x:f>(M7+M8)/(1+'الافتراضات'!$B$7)</x:f>
        <x:v>87847.20000000001</x:v>
      </x:c>
    </x:row>
    <x:row r="10" ht="25" customHeight="1">
      <x:c r="A10" s="3" t="str">
        <x:v>تكلفة المنتج المباع</x:v>
      </x:c>
      <x:c r="B10" s="19" t="n">
        <x:f>B6*'الافتراضات'!$B$10</x:f>
        <x:v>9300</x:v>
      </x:c>
      <x:c r="C10" s="19" t="n">
        <x:f>C6*'الافتراضات'!$B$10</x:f>
        <x:v>11160</x:v>
      </x:c>
      <x:c r="D10" s="19" t="n">
        <x:f>D6*'الافتراضات'!$B$10</x:f>
        <x:v>13640</x:v>
      </x:c>
      <x:c r="E10" s="19" t="n">
        <x:f>E6*'الافتراضات'!$B$10</x:f>
        <x:v>15500</x:v>
      </x:c>
      <x:c r="F10" s="19" t="n">
        <x:f>F6*'الافتراضات'!$B$10</x:f>
        <x:v>17360</x:v>
      </x:c>
      <x:c r="G10" s="19" t="n">
        <x:f>G6*'الافتراضات'!$B$10</x:f>
        <x:v>18600</x:v>
      </x:c>
      <x:c r="H10" s="19" t="n">
        <x:f>H6*'الافتراضات'!$B$10</x:f>
        <x:v>19840</x:v>
      </x:c>
      <x:c r="I10" s="19" t="n">
        <x:f>I6*'الافتراضات'!$B$10</x:f>
        <x:v>21080</x:v>
      </x:c>
      <x:c r="J10" s="19" t="n">
        <x:f>J6*'الافتراضات'!$B$10</x:f>
        <x:v>22320</x:v>
      </x:c>
      <x:c r="K10" s="19" t="n">
        <x:f>K6*'الافتراضات'!$B$10</x:f>
        <x:v>23560</x:v>
      </x:c>
      <x:c r="L10" s="19" t="n">
        <x:f>L6*'الافتراضات'!$B$10</x:f>
        <x:v>26040</x:v>
      </x:c>
      <x:c r="M10" s="19" t="n">
        <x:f>M6*'الافتراضات'!$B$10</x:f>
        <x:v>27900</x:v>
      </x:c>
    </x:row>
    <x:row r="11" ht="25" customHeight="1">
      <x:c r="A11" s="3" t="str">
        <x:v>تجهيز الطلبات</x:v>
      </x:c>
      <x:c r="B11" s="19" t="n">
        <x:f>B6*'الافتراضات'!$B$11</x:f>
        <x:v>750</x:v>
      </x:c>
      <x:c r="C11" s="19" t="n">
        <x:f>C6*'الافتراضات'!$B$11</x:f>
        <x:v>900</x:v>
      </x:c>
      <x:c r="D11" s="19" t="n">
        <x:f>D6*'الافتراضات'!$B$11</x:f>
        <x:v>1100</x:v>
      </x:c>
      <x:c r="E11" s="19" t="n">
        <x:f>E6*'الافتراضات'!$B$11</x:f>
        <x:v>1250</x:v>
      </x:c>
      <x:c r="F11" s="19" t="n">
        <x:f>F6*'الافتراضات'!$B$11</x:f>
        <x:v>1400</x:v>
      </x:c>
      <x:c r="G11" s="19" t="n">
        <x:f>G6*'الافتراضات'!$B$11</x:f>
        <x:v>1500</x:v>
      </x:c>
      <x:c r="H11" s="19" t="n">
        <x:f>H6*'الافتراضات'!$B$11</x:f>
        <x:v>1600</x:v>
      </x:c>
      <x:c r="I11" s="19" t="n">
        <x:f>I6*'الافتراضات'!$B$11</x:f>
        <x:v>1700</x:v>
      </x:c>
      <x:c r="J11" s="19" t="n">
        <x:f>J6*'الافتراضات'!$B$11</x:f>
        <x:v>1800</x:v>
      </x:c>
      <x:c r="K11" s="19" t="n">
        <x:f>K6*'الافتراضات'!$B$11</x:f>
        <x:v>1900</x:v>
      </x:c>
      <x:c r="L11" s="19" t="n">
        <x:f>L6*'الافتراضات'!$B$11</x:f>
        <x:v>2100</x:v>
      </x:c>
      <x:c r="M11" s="19" t="n">
        <x:f>M6*'الافتراضات'!$B$11</x:f>
        <x:v>2250</x:v>
      </x:c>
    </x:row>
    <x:row r="12" ht="25" customHeight="1">
      <x:c r="A12" s="3" t="str">
        <x:v>الشحن</x:v>
      </x:c>
      <x:c r="B12" s="19" t="n">
        <x:f>B6*'الافتراضات'!$B$12</x:f>
        <x:v>2700</x:v>
      </x:c>
      <x:c r="C12" s="19" t="n">
        <x:f>C6*'الافتراضات'!$B$12</x:f>
        <x:v>3240</x:v>
      </x:c>
      <x:c r="D12" s="19" t="n">
        <x:f>D6*'الافتراضات'!$B$12</x:f>
        <x:v>3960</x:v>
      </x:c>
      <x:c r="E12" s="19" t="n">
        <x:f>E6*'الافتراضات'!$B$12</x:f>
        <x:v>4500</x:v>
      </x:c>
      <x:c r="F12" s="19" t="n">
        <x:f>F6*'الافتراضات'!$B$12</x:f>
        <x:v>5040</x:v>
      </x:c>
      <x:c r="G12" s="19" t="n">
        <x:f>G6*'الافتراضات'!$B$12</x:f>
        <x:v>5400</x:v>
      </x:c>
      <x:c r="H12" s="19" t="n">
        <x:f>H6*'الافتراضات'!$B$12</x:f>
        <x:v>5760</x:v>
      </x:c>
      <x:c r="I12" s="19" t="n">
        <x:f>I6*'الافتراضات'!$B$12</x:f>
        <x:v>6120</x:v>
      </x:c>
      <x:c r="J12" s="19" t="n">
        <x:f>J6*'الافتراضات'!$B$12</x:f>
        <x:v>6480</x:v>
      </x:c>
      <x:c r="K12" s="19" t="n">
        <x:f>K6*'الافتراضات'!$B$12</x:f>
        <x:v>6840</x:v>
      </x:c>
      <x:c r="L12" s="19" t="n">
        <x:f>L6*'الافتراضات'!$B$12</x:f>
        <x:v>7560</x:v>
      </x:c>
      <x:c r="M12" s="19" t="n">
        <x:f>M6*'الافتراضات'!$B$12</x:f>
        <x:v>8100</x:v>
      </x:c>
    </x:row>
    <x:row r="13" ht="25" customHeight="1">
      <x:c r="A13" s="3" t="str">
        <x:v>رسوم الدفع</x:v>
      </x:c>
      <x:c r="B13" s="19" t="n">
        <x:f>B6*'الافتراضات'!$B$38</x:f>
        <x:v>1009.0500000000001</x:v>
      </x:c>
      <x:c r="C13" s="19" t="n">
        <x:f>C6*'الافتراضات'!$B$38</x:f>
        <x:v>1210.8600000000001</x:v>
      </x:c>
      <x:c r="D13" s="19" t="n">
        <x:f>D6*'الافتراضات'!$B$38</x:f>
        <x:v>1479.94</x:v>
      </x:c>
      <x:c r="E13" s="19" t="n">
        <x:f>E6*'الافتراضات'!$B$38</x:f>
        <x:v>1681.75</x:v>
      </x:c>
      <x:c r="F13" s="19" t="n">
        <x:f>F6*'الافتراضات'!$B$38</x:f>
        <x:v>1883.5600000000002</x:v>
      </x:c>
      <x:c r="G13" s="19" t="n">
        <x:f>G6*'الافتراضات'!$B$38</x:f>
        <x:v>2018.1000000000001</x:v>
      </x:c>
      <x:c r="H13" s="19" t="n">
        <x:f>H6*'الافتراضات'!$B$38</x:f>
        <x:v>2152.6400000000003</x:v>
      </x:c>
      <x:c r="I13" s="19" t="n">
        <x:f>I6*'الافتراضات'!$B$38</x:f>
        <x:v>2287.1800000000003</x:v>
      </x:c>
      <x:c r="J13" s="19" t="n">
        <x:f>J6*'الافتراضات'!$B$38</x:f>
        <x:v>2421.7200000000003</x:v>
      </x:c>
      <x:c r="K13" s="19" t="n">
        <x:f>K6*'الافتراضات'!$B$38</x:f>
        <x:v>2556.26</x:v>
      </x:c>
      <x:c r="L13" s="19" t="n">
        <x:f>L6*'الافتراضات'!$B$38</x:f>
        <x:v>2825.34</x:v>
      </x:c>
      <x:c r="M13" s="19" t="n">
        <x:f>M6*'الافتراضات'!$B$38</x:f>
        <x:v>3027.15</x:v>
      </x:c>
    </x:row>
    <x:row r="14" ht="25" customHeight="1">
      <x:c r="A14" s="3" t="str">
        <x:v>معالجة المرتجعات</x:v>
      </x:c>
      <x:c r="B14" s="19" t="n">
        <x:f>B6*'الافتراضات'!$B$15</x:f>
        <x:v>375</x:v>
      </x:c>
      <x:c r="C14" s="19" t="n">
        <x:f>C6*'الافتراضات'!$B$15</x:f>
        <x:v>450</x:v>
      </x:c>
      <x:c r="D14" s="19" t="n">
        <x:f>D6*'الافتراضات'!$B$15</x:f>
        <x:v>550</x:v>
      </x:c>
      <x:c r="E14" s="19" t="n">
        <x:f>E6*'الافتراضات'!$B$15</x:f>
        <x:v>625</x:v>
      </x:c>
      <x:c r="F14" s="19" t="n">
        <x:f>F6*'الافتراضات'!$B$15</x:f>
        <x:v>700</x:v>
      </x:c>
      <x:c r="G14" s="19" t="n">
        <x:f>G6*'الافتراضات'!$B$15</x:f>
        <x:v>750</x:v>
      </x:c>
      <x:c r="H14" s="19" t="n">
        <x:f>H6*'الافتراضات'!$B$15</x:f>
        <x:v>800</x:v>
      </x:c>
      <x:c r="I14" s="19" t="n">
        <x:f>I6*'الافتراضات'!$B$15</x:f>
        <x:v>850</x:v>
      </x:c>
      <x:c r="J14" s="19" t="n">
        <x:f>J6*'الافتراضات'!$B$15</x:f>
        <x:v>900</x:v>
      </x:c>
      <x:c r="K14" s="19" t="n">
        <x:f>K6*'الافتراضات'!$B$15</x:f>
        <x:v>950</x:v>
      </x:c>
      <x:c r="L14" s="19" t="n">
        <x:f>L6*'الافتراضات'!$B$15</x:f>
        <x:v>1050</x:v>
      </x:c>
      <x:c r="M14" s="19" t="n">
        <x:f>M6*'الافتراضات'!$B$15</x:f>
        <x:v>1125</x:v>
      </x:c>
    </x:row>
    <x:row r="15" ht="25" customHeight="1">
      <x:c r="A15" s="3" t="str">
        <x:v>التسويق المتغير</x:v>
      </x:c>
      <x:c r="B15" s="19" t="n">
        <x:f>B6*'الافتراضات'!$B$16</x:f>
        <x:v>6750</x:v>
      </x:c>
      <x:c r="C15" s="19" t="n">
        <x:f>C6*'الافتراضات'!$B$16</x:f>
        <x:v>8100</x:v>
      </x:c>
      <x:c r="D15" s="19" t="n">
        <x:f>D6*'الافتراضات'!$B$16</x:f>
        <x:v>9900</x:v>
      </x:c>
      <x:c r="E15" s="19" t="n">
        <x:f>E6*'الافتراضات'!$B$16</x:f>
        <x:v>11250</x:v>
      </x:c>
      <x:c r="F15" s="19" t="n">
        <x:f>F6*'الافتراضات'!$B$16</x:f>
        <x:v>12600</x:v>
      </x:c>
      <x:c r="G15" s="19" t="n">
        <x:f>G6*'الافتراضات'!$B$16</x:f>
        <x:v>13500</x:v>
      </x:c>
      <x:c r="H15" s="19" t="n">
        <x:f>H6*'الافتراضات'!$B$16</x:f>
        <x:v>14400</x:v>
      </x:c>
      <x:c r="I15" s="19" t="n">
        <x:f>I6*'الافتراضات'!$B$16</x:f>
        <x:v>15300</x:v>
      </x:c>
      <x:c r="J15" s="19" t="n">
        <x:f>J6*'الافتراضات'!$B$16</x:f>
        <x:v>16200</x:v>
      </x:c>
      <x:c r="K15" s="19" t="n">
        <x:f>K6*'الافتراضات'!$B$16</x:f>
        <x:v>17100</x:v>
      </x:c>
      <x:c r="L15" s="19" t="n">
        <x:f>L6*'الافتراضات'!$B$16</x:f>
        <x:v>18900</x:v>
      </x:c>
      <x:c r="M15" s="19" t="n">
        <x:f>M6*'الافتراضات'!$B$16</x:f>
        <x:v>20250</x:v>
      </x:c>
    </x:row>
    <x:row r="16" ht="25" customHeight="1">
      <x:c r="A16" s="3" t="str">
        <x:v>إجمالي المتغير</x:v>
      </x:c>
      <x:c r="B16" s="11" t="n">
        <x:f>SUM(B10:B15)</x:f>
        <x:v>20884.05</x:v>
      </x:c>
      <x:c r="C16" s="11" t="n">
        <x:f>SUM(C10:C15)</x:f>
        <x:v>25060.86</x:v>
      </x:c>
      <x:c r="D16" s="11" t="n">
        <x:f>SUM(D10:D15)</x:f>
        <x:v>30629.94</x:v>
      </x:c>
      <x:c r="E16" s="11" t="n">
        <x:f>SUM(E10:E15)</x:f>
        <x:v>34806.75</x:v>
      </x:c>
      <x:c r="F16" s="11" t="n">
        <x:f>SUM(F10:F15)</x:f>
        <x:v>38983.56</x:v>
      </x:c>
      <x:c r="G16" s="11" t="n">
        <x:f>SUM(G10:G15)</x:f>
        <x:v>41768.1</x:v>
      </x:c>
      <x:c r="H16" s="11" t="n">
        <x:f>SUM(H10:H15)</x:f>
        <x:v>44552.64</x:v>
      </x:c>
      <x:c r="I16" s="11" t="n">
        <x:f>SUM(I10:I15)</x:f>
        <x:v>47337.18</x:v>
      </x:c>
      <x:c r="J16" s="11" t="n">
        <x:f>SUM(J10:J15)</x:f>
        <x:v>50121.72</x:v>
      </x:c>
      <x:c r="K16" s="11" t="n">
        <x:f>SUM(K10:K15)</x:f>
        <x:v>52906.26</x:v>
      </x:c>
      <x:c r="L16" s="11" t="n">
        <x:f>SUM(L10:L15)</x:f>
        <x:v>58475.34</x:v>
      </x:c>
      <x:c r="M16" s="11" t="n">
        <x:f>SUM(M10:M15)</x:f>
        <x:v>62652.15</x:v>
      </x:c>
    </x:row>
    <x:row r="17" ht="25" customHeight="1">
      <x:c r="A17" s="3" t="str">
        <x:v>المساهمة</x:v>
      </x:c>
      <x:c r="B17" s="11" t="n">
        <x:f>B9-B16</x:f>
        <x:v>8398.350000000006</x:v>
      </x:c>
      <x:c r="C17" s="11" t="n">
        <x:f>C9-C16</x:f>
        <x:v>10078.020000000004</x:v>
      </x:c>
      <x:c r="D17" s="11" t="n">
        <x:f>D9-D16</x:f>
        <x:v>12317.580000000013</x:v>
      </x:c>
      <x:c r="E17" s="11" t="n">
        <x:f>E9-E16</x:f>
        <x:v>13997.25</x:v>
      </x:c>
      <x:c r="F17" s="11" t="n">
        <x:f>F9-F16</x:f>
        <x:v>15676.920000000013</x:v>
      </x:c>
      <x:c r="G17" s="11" t="n">
        <x:f>G9-G16</x:f>
        <x:v>16796.70000000001</x:v>
      </x:c>
      <x:c r="H17" s="11" t="n">
        <x:f>H9-H16</x:f>
        <x:v>17916.480000000018</x:v>
      </x:c>
      <x:c r="I17" s="11" t="n">
        <x:f>I9-I16</x:f>
        <x:v>19036.260000000002</x:v>
      </x:c>
      <x:c r="J17" s="11" t="n">
        <x:f>J9-J16</x:f>
        <x:v>20156.040000000008</x:v>
      </x:c>
      <x:c r="K17" s="11" t="n">
        <x:f>K9-K16</x:f>
        <x:v>21275.820000000014</x:v>
      </x:c>
      <x:c r="L17" s="11" t="n">
        <x:f>L9-L16</x:f>
        <x:v>23515.38000000002</x:v>
      </x:c>
      <x:c r="M17" s="11" t="n">
        <x:f>M9-M16</x:f>
        <x:v>25195.05000000001</x:v>
      </x:c>
    </x:row>
    <x:row r="18" ht="25" customHeight="1">
      <x:c r="A18" s="3" t="str">
        <x:v>ثابت شهري</x:v>
      </x:c>
      <x:c r="B18" s="19" t="n">
        <x:f>'الافتراضات'!$B$17</x:f>
        <x:v>15000</x:v>
      </x:c>
      <x:c r="C18" s="19" t="n">
        <x:f>'الافتراضات'!$B$17</x:f>
        <x:v>15000</x:v>
      </x:c>
      <x:c r="D18" s="19" t="n">
        <x:f>'الافتراضات'!$B$17</x:f>
        <x:v>15000</x:v>
      </x:c>
      <x:c r="E18" s="19" t="n">
        <x:f>'الافتراضات'!$B$17</x:f>
        <x:v>15000</x:v>
      </x:c>
      <x:c r="F18" s="19" t="n">
        <x:f>'الافتراضات'!$B$17</x:f>
        <x:v>15000</x:v>
      </x:c>
      <x:c r="G18" s="19" t="n">
        <x:f>'الافتراضات'!$B$17</x:f>
        <x:v>15000</x:v>
      </x:c>
      <x:c r="H18" s="19" t="n">
        <x:f>'الافتراضات'!$B$17</x:f>
        <x:v>15000</x:v>
      </x:c>
      <x:c r="I18" s="19" t="n">
        <x:f>'الافتراضات'!$B$17</x:f>
        <x:v>15000</x:v>
      </x:c>
      <x:c r="J18" s="19" t="n">
        <x:f>'الافتراضات'!$B$17</x:f>
        <x:v>15000</x:v>
      </x:c>
      <x:c r="K18" s="19" t="n">
        <x:f>'الافتراضات'!$B$17</x:f>
        <x:v>15000</x:v>
      </x:c>
      <x:c r="L18" s="19" t="n">
        <x:f>'الافتراضات'!$B$17</x:f>
        <x:v>15000</x:v>
      </x:c>
      <x:c r="M18" s="19" t="n">
        <x:f>'الافتراضات'!$B$17</x:f>
        <x:v>15000</x:v>
      </x:c>
    </x:row>
    <x:row r="19" ht="25" customHeight="1">
      <x:c r="A19" s="27" t="str">
        <x:v>فائض التشغيل</x:v>
      </x:c>
      <x:c r="B19" s="30" t="n">
        <x:f>B17-B18</x:f>
        <x:v>-6601.649999999994</x:v>
      </x:c>
      <x:c r="C19" s="30" t="n">
        <x:f>C17-C18</x:f>
        <x:v>-4921.979999999996</x:v>
      </x:c>
      <x:c r="D19" s="30" t="n">
        <x:f>D17-D18</x:f>
        <x:v>-2682.4199999999873</x:v>
      </x:c>
      <x:c r="E19" s="30" t="n">
        <x:f>E17-E18</x:f>
        <x:v>-1002.75</x:v>
      </x:c>
      <x:c r="F19" s="30" t="n">
        <x:f>F17-F18</x:f>
        <x:v>676.9200000000128</x:v>
      </x:c>
      <x:c r="G19" s="30" t="n">
        <x:f>G17-G18</x:f>
        <x:v>1796.7000000000116</x:v>
      </x:c>
      <x:c r="H19" s="30" t="n">
        <x:f>H17-H18</x:f>
        <x:v>2916.4800000000178</x:v>
      </x:c>
      <x:c r="I19" s="30" t="n">
        <x:f>I17-I18</x:f>
        <x:v>4036.260000000002</x:v>
      </x:c>
      <x:c r="J19" s="30" t="n">
        <x:f>J17-J18</x:f>
        <x:v>5156.040000000008</x:v>
      </x:c>
      <x:c r="K19" s="30" t="n">
        <x:f>K17-K18</x:f>
        <x:v>6275.820000000014</x:v>
      </x:c>
      <x:c r="L19" s="30" t="n">
        <x:f>L17-L18</x:f>
        <x:v>8515.38000000002</x:v>
      </x:c>
      <x:c r="M19" s="30" t="n">
        <x:f>M17-M18</x:f>
        <x:v>10195.05000000001</x:v>
      </x:c>
    </x:row>
    <x:row r="20" ht="25" customHeight="1">
      <x:c r="A20" s="3"/>
      <x:c r="B20" s="4"/>
      <x:c r="C20" s="4"/>
      <x:c r="D20" s="4"/>
      <x:c r="E20" s="4"/>
      <x:c r="F20" s="4"/>
      <x:c r="G20" s="4"/>
      <x:c r="H20" s="4"/>
      <x:c r="I20" s="4"/>
      <x:c r="J20" s="4"/>
      <x:c r="K20" s="4"/>
      <x:c r="L20" s="4"/>
      <x:c r="M20" s="4"/>
    </x:row>
    <x:row r="21" ht="25" customHeight="1">
      <x:c r="A21" s="3" t="str">
        <x:v>مخزون أول الشهر</x:v>
      </x:c>
      <x:c r="B21" s="19" t="n">
        <x:f>'الافتراضات'!$B$19</x:f>
        <x:v>1000</x:v>
      </x:c>
      <x:c r="C21" s="11" t="n">
        <x:f>B24</x:f>
        <x:v>850</x:v>
      </x:c>
      <x:c r="D21" s="11" t="n">
        <x:f>C24</x:f>
        <x:v>670</x:v>
      </x:c>
      <x:c r="E21" s="11" t="n">
        <x:f>D24</x:f>
        <x:v>450</x:v>
      </x:c>
      <x:c r="F21" s="11" t="n">
        <x:f>E24</x:f>
        <x:v>1200</x:v>
      </x:c>
      <x:c r="G21" s="11" t="n">
        <x:f>F24</x:f>
        <x:v>920</x:v>
      </x:c>
      <x:c r="H21" s="11" t="n">
        <x:f>G24</x:f>
        <x:v>620</x:v>
      </x:c>
      <x:c r="I21" s="11" t="n">
        <x:f>H24</x:f>
        <x:v>1300</x:v>
      </x:c>
      <x:c r="J21" s="11" t="n">
        <x:f>I24</x:f>
        <x:v>960</x:v>
      </x:c>
      <x:c r="K21" s="11" t="n">
        <x:f>J24</x:f>
        <x:v>600</x:v>
      </x:c>
      <x:c r="L21" s="11" t="n">
        <x:f>K24</x:f>
        <x:v>1220</x:v>
      </x:c>
      <x:c r="M21" s="11" t="n">
        <x:f>L24</x:f>
        <x:v>800</x:v>
      </x:c>
    </x:row>
    <x:row r="22" ht="25" customHeight="1">
      <x:c r="A22" s="3" t="str">
        <x:v>استلام في بداية الشهر</x:v>
      </x:c>
      <x:c r="B22" s="19" t="n">
        <x:f>'الافتراضات'!B52</x:f>
        <x:v>0</x:v>
      </x:c>
      <x:c r="C22" s="19" t="n">
        <x:f>'الافتراضات'!C52</x:f>
        <x:v>0</x:v>
      </x:c>
      <x:c r="D22" s="19" t="n">
        <x:f>'الافتراضات'!D52</x:f>
        <x:v>0</x:v>
      </x:c>
      <x:c r="E22" s="19" t="n">
        <x:f>'الافتراضات'!E52</x:f>
        <x:v>1000</x:v>
      </x:c>
      <x:c r="F22" s="19" t="n">
        <x:f>'الافتراضات'!F52</x:f>
        <x:v>0</x:v>
      </x:c>
      <x:c r="G22" s="19" t="n">
        <x:f>'الافتراضات'!G52</x:f>
        <x:v>0</x:v>
      </x:c>
      <x:c r="H22" s="19" t="n">
        <x:f>'الافتراضات'!H52</x:f>
        <x:v>1000</x:v>
      </x:c>
      <x:c r="I22" s="19" t="n">
        <x:f>'الافتراضات'!I52</x:f>
        <x:v>0</x:v>
      </x:c>
      <x:c r="J22" s="19" t="n">
        <x:f>'الافتراضات'!J52</x:f>
        <x:v>0</x:v>
      </x:c>
      <x:c r="K22" s="19" t="n">
        <x:f>'الافتراضات'!K52</x:f>
        <x:v>1000</x:v>
      </x:c>
      <x:c r="L22" s="19" t="n">
        <x:f>'الافتراضات'!L52</x:f>
        <x:v>0</x:v>
      </x:c>
      <x:c r="M22" s="19" t="n">
        <x:f>'الافتراضات'!M52</x:f>
        <x:v>0</x:v>
      </x:c>
    </x:row>
    <x:row r="23" ht="25" customHeight="1">
      <x:c r="A23" s="3" t="str">
        <x:v>شحنات الشهر</x:v>
      </x:c>
      <x:c r="B23" s="11" t="n">
        <x:f>B6</x:f>
        <x:v>150</x:v>
      </x:c>
      <x:c r="C23" s="11" t="n">
        <x:f>C6</x:f>
        <x:v>180</x:v>
      </x:c>
      <x:c r="D23" s="11" t="n">
        <x:f>D6</x:f>
        <x:v>220</x:v>
      </x:c>
      <x:c r="E23" s="11" t="n">
        <x:f>E6</x:f>
        <x:v>250</x:v>
      </x:c>
      <x:c r="F23" s="11" t="n">
        <x:f>F6</x:f>
        <x:v>280</x:v>
      </x:c>
      <x:c r="G23" s="11" t="n">
        <x:f>G6</x:f>
        <x:v>300</x:v>
      </x:c>
      <x:c r="H23" s="11" t="n">
        <x:f>H6</x:f>
        <x:v>320</x:v>
      </x:c>
      <x:c r="I23" s="11" t="n">
        <x:f>I6</x:f>
        <x:v>340</x:v>
      </x:c>
      <x:c r="J23" s="11" t="n">
        <x:f>J6</x:f>
        <x:v>360</x:v>
      </x:c>
      <x:c r="K23" s="11" t="n">
        <x:f>K6</x:f>
        <x:v>380</x:v>
      </x:c>
      <x:c r="L23" s="11" t="n">
        <x:f>L6</x:f>
        <x:v>420</x:v>
      </x:c>
      <x:c r="M23" s="11" t="n">
        <x:f>M6</x:f>
        <x:v>450</x:v>
      </x:c>
    </x:row>
    <x:row r="24" ht="25" customHeight="1">
      <x:c r="A24" s="27" t="str">
        <x:v>مخزون آخر الشهر</x:v>
      </x:c>
      <x:c r="B24" s="30" t="n">
        <x:f>B21+B22-B23</x:f>
        <x:v>850</x:v>
      </x:c>
      <x:c r="C24" s="30" t="n">
        <x:f>C21+C22-C23</x:f>
        <x:v>670</x:v>
      </x:c>
      <x:c r="D24" s="30" t="n">
        <x:f>D21+D22-D23</x:f>
        <x:v>450</x:v>
      </x:c>
      <x:c r="E24" s="30" t="n">
        <x:f>E21+E22-E23</x:f>
        <x:v>1200</x:v>
      </x:c>
      <x:c r="F24" s="30" t="n">
        <x:f>F21+F22-F23</x:f>
        <x:v>920</x:v>
      </x:c>
      <x:c r="G24" s="30" t="n">
        <x:f>G21+G22-G23</x:f>
        <x:v>620</x:v>
      </x:c>
      <x:c r="H24" s="30" t="n">
        <x:f>H21+H22-H23</x:f>
        <x:v>1300</x:v>
      </x:c>
      <x:c r="I24" s="30" t="n">
        <x:f>I21+I22-I23</x:f>
        <x:v>960</x:v>
      </x:c>
      <x:c r="J24" s="30" t="n">
        <x:f>J21+J22-J23</x:f>
        <x:v>600</x:v>
      </x:c>
      <x:c r="K24" s="30" t="n">
        <x:f>K21+K22-K23</x:f>
        <x:v>1220</x:v>
      </x:c>
      <x:c r="L24" s="30" t="n">
        <x:f>L21+L22-L23</x:f>
        <x:v>800</x:v>
      </x:c>
      <x:c r="M24" s="30" t="n">
        <x:f>M21+M22-M23</x:f>
        <x:v>350</x:v>
      </x:c>
    </x:row>
    <x:row r="25" ht="25" customHeight="1">
      <x:c r="A25" s="3" t="str">
        <x:v>دفعة مقدمة للمورد</x:v>
      </x:c>
      <x:c r="B25" s="19" t="n">
        <x:f>IF(B$5+'الافتراضات'!$B$24&lt;='الافتراضات'!$B$32,INDEX('الافتراضات'!$B$52:$M$52,1,MIN('الافتراضات'!$B$32,B$5+'الافتراضات'!$B$24))*'الافتراضات'!$B$10*'الافتراضات'!$B$25,0)</x:f>
        <x:v>0</x:v>
      </x:c>
      <x:c r="C25" s="19" t="n">
        <x:f>IF(C$5+'الافتراضات'!$B$24&lt;='الافتراضات'!$B$32,INDEX('الافتراضات'!$B$52:$M$52,1,MIN('الافتراضات'!$B$32,C$5+'الافتراضات'!$B$24))*'الافتراضات'!$B$10*'الافتراضات'!$B$25,0)</x:f>
        <x:v>0</x:v>
      </x:c>
      <x:c r="D25" s="19" t="n">
        <x:f>IF(D$5+'الافتراضات'!$B$24&lt;='الافتراضات'!$B$32,INDEX('الافتراضات'!$B$52:$M$52,1,MIN('الافتراضات'!$B$32,D$5+'الافتراضات'!$B$24))*'الافتراضات'!$B$10*'الافتراضات'!$B$25,0)</x:f>
        <x:v>31000</x:v>
      </x:c>
      <x:c r="E25" s="19" t="n">
        <x:f>IF(E$5+'الافتراضات'!$B$24&lt;='الافتراضات'!$B$32,INDEX('الافتراضات'!$B$52:$M$52,1,MIN('الافتراضات'!$B$32,E$5+'الافتراضات'!$B$24))*'الافتراضات'!$B$10*'الافتراضات'!$B$25,0)</x:f>
        <x:v>0</x:v>
      </x:c>
      <x:c r="F25" s="19" t="n">
        <x:f>IF(F$5+'الافتراضات'!$B$24&lt;='الافتراضات'!$B$32,INDEX('الافتراضات'!$B$52:$M$52,1,MIN('الافتراضات'!$B$32,F$5+'الافتراضات'!$B$24))*'الافتراضات'!$B$10*'الافتراضات'!$B$25,0)</x:f>
        <x:v>0</x:v>
      </x:c>
      <x:c r="G25" s="19" t="n">
        <x:f>IF(G$5+'الافتراضات'!$B$24&lt;='الافتراضات'!$B$32,INDEX('الافتراضات'!$B$52:$M$52,1,MIN('الافتراضات'!$B$32,G$5+'الافتراضات'!$B$24))*'الافتراضات'!$B$10*'الافتراضات'!$B$25,0)</x:f>
        <x:v>31000</x:v>
      </x:c>
      <x:c r="H25" s="19" t="n">
        <x:f>IF(H$5+'الافتراضات'!$B$24&lt;='الافتراضات'!$B$32,INDEX('الافتراضات'!$B$52:$M$52,1,MIN('الافتراضات'!$B$32,H$5+'الافتراضات'!$B$24))*'الافتراضات'!$B$10*'الافتراضات'!$B$25,0)</x:f>
        <x:v>0</x:v>
      </x:c>
      <x:c r="I25" s="19" t="n">
        <x:f>IF(I$5+'الافتراضات'!$B$24&lt;='الافتراضات'!$B$32,INDEX('الافتراضات'!$B$52:$M$52,1,MIN('الافتراضات'!$B$32,I$5+'الافتراضات'!$B$24))*'الافتراضات'!$B$10*'الافتراضات'!$B$25,0)</x:f>
        <x:v>0</x:v>
      </x:c>
      <x:c r="J25" s="19" t="n">
        <x:f>IF(J$5+'الافتراضات'!$B$24&lt;='الافتراضات'!$B$32,INDEX('الافتراضات'!$B$52:$M$52,1,MIN('الافتراضات'!$B$32,J$5+'الافتراضات'!$B$24))*'الافتراضات'!$B$10*'الافتراضات'!$B$25,0)</x:f>
        <x:v>31000</x:v>
      </x:c>
      <x:c r="K25" s="19" t="n">
        <x:f>IF(K$5+'الافتراضات'!$B$24&lt;='الافتراضات'!$B$32,INDEX('الافتراضات'!$B$52:$M$52,1,MIN('الافتراضات'!$B$32,K$5+'الافتراضات'!$B$24))*'الافتراضات'!$B$10*'الافتراضات'!$B$25,0)</x:f>
        <x:v>0</x:v>
      </x:c>
      <x:c r="L25" s="19" t="n">
        <x:f>IF(L$5+'الافتراضات'!$B$24&lt;='الافتراضات'!$B$32,INDEX('الافتراضات'!$B$52:$M$52,1,MIN('الافتراضات'!$B$32,L$5+'الافتراضات'!$B$24))*'الافتراضات'!$B$10*'الافتراضات'!$B$25,0)</x:f>
        <x:v>0</x:v>
      </x:c>
      <x:c r="M25" s="19" t="n">
        <x:f>IF(M$5+'الافتراضات'!$B$24&lt;='الافتراضات'!$B$32,INDEX('الافتراضات'!$B$52:$M$52,1,MIN('الافتراضات'!$B$32,M$5+'الافتراضات'!$B$24))*'الافتراضات'!$B$10*'الافتراضات'!$B$25,0)</x:f>
        <x:v>0</x:v>
      </x:c>
    </x:row>
    <x:row r="26" ht="25" customHeight="1">
      <x:c r="A26" s="3" t="str">
        <x:v>باقي قيمة المستلم</x:v>
      </x:c>
      <x:c r="B26" s="19" t="n">
        <x:f>B22*'الافتراضات'!$B$10*(1-'الافتراضات'!$B$25)</x:f>
        <x:v>0</x:v>
      </x:c>
      <x:c r="C26" s="19" t="n">
        <x:f>C22*'الافتراضات'!$B$10*(1-'الافتراضات'!$B$25)</x:f>
        <x:v>0</x:v>
      </x:c>
      <x:c r="D26" s="19" t="n">
        <x:f>D22*'الافتراضات'!$B$10*(1-'الافتراضات'!$B$25)</x:f>
        <x:v>0</x:v>
      </x:c>
      <x:c r="E26" s="19" t="n">
        <x:f>E22*'الافتراضات'!$B$10*(1-'الافتراضات'!$B$25)</x:f>
        <x:v>31000</x:v>
      </x:c>
      <x:c r="F26" s="19" t="n">
        <x:f>F22*'الافتراضات'!$B$10*(1-'الافتراضات'!$B$25)</x:f>
        <x:v>0</x:v>
      </x:c>
      <x:c r="G26" s="19" t="n">
        <x:f>G22*'الافتراضات'!$B$10*(1-'الافتراضات'!$B$25)</x:f>
        <x:v>0</x:v>
      </x:c>
      <x:c r="H26" s="19" t="n">
        <x:f>H22*'الافتراضات'!$B$10*(1-'الافتراضات'!$B$25)</x:f>
        <x:v>31000</x:v>
      </x:c>
      <x:c r="I26" s="19" t="n">
        <x:f>I22*'الافتراضات'!$B$10*(1-'الافتراضات'!$B$25)</x:f>
        <x:v>0</x:v>
      </x:c>
      <x:c r="J26" s="19" t="n">
        <x:f>J22*'الافتراضات'!$B$10*(1-'الافتراضات'!$B$25)</x:f>
        <x:v>0</x:v>
      </x:c>
      <x:c r="K26" s="19" t="n">
        <x:f>K22*'الافتراضات'!$B$10*(1-'الافتراضات'!$B$25)</x:f>
        <x:v>31000</x:v>
      </x:c>
      <x:c r="L26" s="19" t="n">
        <x:f>L22*'الافتراضات'!$B$10*(1-'الافتراضات'!$B$25)</x:f>
        <x:v>0</x:v>
      </x:c>
      <x:c r="M26" s="19" t="n">
        <x:f>M22*'الافتراضات'!$B$10*(1-'الافتراضات'!$B$25)</x:f>
        <x:v>0</x:v>
      </x:c>
    </x:row>
    <x:row r="27" ht="25" customHeight="1">
      <x:c r="A27" s="3" t="str">
        <x:v>مشتريات نقدية</x:v>
      </x:c>
      <x:c r="B27" s="11" t="n">
        <x:f>SUM(B25:B26)</x:f>
        <x:v>0</x:v>
      </x:c>
      <x:c r="C27" s="11" t="n">
        <x:f>SUM(C25:C26)</x:f>
        <x:v>0</x:v>
      </x:c>
      <x:c r="D27" s="11" t="n">
        <x:f>SUM(D25:D26)</x:f>
        <x:v>31000</x:v>
      </x:c>
      <x:c r="E27" s="11" t="n">
        <x:f>SUM(E25:E26)</x:f>
        <x:v>31000</x:v>
      </x:c>
      <x:c r="F27" s="11" t="n">
        <x:f>SUM(F25:F26)</x:f>
        <x:v>0</x:v>
      </x:c>
      <x:c r="G27" s="11" t="n">
        <x:f>SUM(G25:G26)</x:f>
        <x:v>31000</x:v>
      </x:c>
      <x:c r="H27" s="11" t="n">
        <x:f>SUM(H25:H26)</x:f>
        <x:v>31000</x:v>
      </x:c>
      <x:c r="I27" s="11" t="n">
        <x:f>SUM(I25:I26)</x:f>
        <x:v>0</x:v>
      </x:c>
      <x:c r="J27" s="11" t="n">
        <x:f>SUM(J25:J26)</x:f>
        <x:v>31000</x:v>
      </x:c>
      <x:c r="K27" s="11" t="n">
        <x:f>SUM(K25:K26)</x:f>
        <x:v>31000</x:v>
      </x:c>
      <x:c r="L27" s="11" t="n">
        <x:f>SUM(L25:L26)</x:f>
        <x:v>0</x:v>
      </x:c>
      <x:c r="M27" s="11" t="n">
        <x:f>SUM(M25:M26)</x:f>
        <x:v>0</x:v>
      </x:c>
    </x:row>
    <x:row r="28" ht="25" customHeight="1">
      <x:c r="A28" s="3" t="str">
        <x:v>تدفق نقد التشغيل</x:v>
      </x:c>
      <x:c r="B28" s="11" t="n">
        <x:f>B9-SUM(B11:B15)-B18-B27</x:f>
        <x:v>2698.350000000006</x:v>
      </x:c>
      <x:c r="C28" s="11" t="n">
        <x:f>C9-SUM(C11:C15)-C18-C27</x:f>
        <x:v>6238.020000000004</x:v>
      </x:c>
      <x:c r="D28" s="11" t="n">
        <x:f>D9-SUM(D11:D15)-D18-D27</x:f>
        <x:v>-20042.41999999999</x:v>
      </x:c>
      <x:c r="E28" s="11" t="n">
        <x:f>E9-SUM(E11:E15)-E18-E27</x:f>
        <x:v>-16502.75</x:v>
      </x:c>
      <x:c r="F28" s="11" t="n">
        <x:f>F9-SUM(F11:F15)-F18-F27</x:f>
        <x:v>18036.920000000013</x:v>
      </x:c>
      <x:c r="G28" s="11" t="n">
        <x:f>G9-SUM(G11:G15)-G18-G27</x:f>
        <x:v>-10603.299999999988</x:v>
      </x:c>
      <x:c r="H28" s="11" t="n">
        <x:f>H9-SUM(H11:H15)-H18-H27</x:f>
        <x:v>-8243.519999999982</x:v>
      </x:c>
      <x:c r="I28" s="11" t="n">
        <x:f>I9-SUM(I11:I15)-I18-I27</x:f>
        <x:v>25116.260000000002</x:v>
      </x:c>
      <x:c r="J28" s="11" t="n">
        <x:f>J9-SUM(J11:J15)-J18-J27</x:f>
        <x:v>-3523.959999999992</x:v>
      </x:c>
      <x:c r="K28" s="11" t="n">
        <x:f>K9-SUM(K11:K15)-K18-K27</x:f>
        <x:v>-1164.1799999999857</x:v>
      </x:c>
      <x:c r="L28" s="11" t="n">
        <x:f>L9-SUM(L11:L15)-L18-L27</x:f>
        <x:v>34555.38000000002</x:v>
      </x:c>
      <x:c r="M28" s="11" t="n">
        <x:f>M9-SUM(M11:M15)-M18-M27</x:f>
        <x:v>38095.05000000001</x:v>
      </x:c>
    </x:row>
    <x:row r="29" ht="25" customHeight="1">
      <x:c r="A29" s="3" t="str">
        <x:v>نقد أول الشهر</x:v>
      </x:c>
      <x:c r="B29" s="19" t="n">
        <x:f>'الافتراضات'!$B$44</x:f>
        <x:v>60000</x:v>
      </x:c>
      <x:c r="C29" s="11" t="n">
        <x:f>B30</x:f>
        <x:v>62698.350000000006</x:v>
      </x:c>
      <x:c r="D29" s="11" t="n">
        <x:f>C30</x:f>
        <x:v>68936.37000000001</x:v>
      </x:c>
      <x:c r="E29" s="11" t="n">
        <x:f>D30</x:f>
        <x:v>48893.95000000002</x:v>
      </x:c>
      <x:c r="F29" s="11" t="n">
        <x:f>E30</x:f>
        <x:v>32391.20000000002</x:v>
      </x:c>
      <x:c r="G29" s="11" t="n">
        <x:f>F30</x:f>
        <x:v>50428.12000000003</x:v>
      </x:c>
      <x:c r="H29" s="11" t="n">
        <x:f>G30</x:f>
        <x:v>39824.82000000004</x:v>
      </x:c>
      <x:c r="I29" s="11" t="n">
        <x:f>H30</x:f>
        <x:v>31581.30000000006</x:v>
      </x:c>
      <x:c r="J29" s="11" t="n">
        <x:f>I30</x:f>
        <x:v>56697.56000000006</x:v>
      </x:c>
      <x:c r="K29" s="11" t="n">
        <x:f>J30</x:f>
        <x:v>53173.60000000007</x:v>
      </x:c>
      <x:c r="L29" s="11" t="n">
        <x:f>K30</x:f>
        <x:v>52009.420000000086</x:v>
      </x:c>
      <x:c r="M29" s="11" t="n">
        <x:f>L30</x:f>
        <x:v>86564.8000000001</x:v>
      </x:c>
    </x:row>
    <x:row r="30" ht="25" customHeight="1">
      <x:c r="A30" s="27" t="str">
        <x:v>نقد آخر الشهر</x:v>
      </x:c>
      <x:c r="B30" s="30" t="n">
        <x:f>B29+B28</x:f>
        <x:v>62698.350000000006</x:v>
      </x:c>
      <x:c r="C30" s="30" t="n">
        <x:f>C29+C28</x:f>
        <x:v>68936.37000000001</x:v>
      </x:c>
      <x:c r="D30" s="30" t="n">
        <x:f>D29+D28</x:f>
        <x:v>48893.95000000002</x:v>
      </x:c>
      <x:c r="E30" s="30" t="n">
        <x:f>E29+E28</x:f>
        <x:v>32391.20000000002</x:v>
      </x:c>
      <x:c r="F30" s="30" t="n">
        <x:f>F29+F28</x:f>
        <x:v>50428.12000000003</x:v>
      </x:c>
      <x:c r="G30" s="30" t="n">
        <x:f>G29+G28</x:f>
        <x:v>39824.82000000004</x:v>
      </x:c>
      <x:c r="H30" s="30" t="n">
        <x:f>H29+H28</x:f>
        <x:v>31581.30000000006</x:v>
      </x:c>
      <x:c r="I30" s="30" t="n">
        <x:f>I29+I28</x:f>
        <x:v>56697.56000000006</x:v>
      </x:c>
      <x:c r="J30" s="30" t="n">
        <x:f>J29+J28</x:f>
        <x:v>53173.60000000007</x:v>
      </x:c>
      <x:c r="K30" s="30" t="n">
        <x:f>K29+K28</x:f>
        <x:v>52009.420000000086</x:v>
      </x:c>
      <x:c r="L30" s="30" t="n">
        <x:f>L29+L28</x:f>
        <x:v>86564.8000000001</x:v>
      </x:c>
      <x:c r="M30" s="30" t="n">
        <x:f>M29+M28</x:f>
        <x:v>124659.85000000012</x:v>
      </x:c>
    </x:row>
    <x:row r="31" ht="25" customHeight="1">
      <x:c r="A31" s="3" t="str">
        <x:v>فحص حركة النقد</x:v>
      </x:c>
      <x:c r="B31" s="11" t="n">
        <x:f>B30-B29-B28</x:f>
        <x:v>0</x:v>
      </x:c>
      <x:c r="C31" s="11" t="n">
        <x:f>C30-C29-C28</x:f>
        <x:v>0</x:v>
      </x:c>
      <x:c r="D31" s="11" t="n">
        <x:f>D30-D29-D28</x:f>
        <x:v>0</x:v>
      </x:c>
      <x:c r="E31" s="11" t="n">
        <x:f>E30-E29-E28</x:f>
        <x:v>0</x:v>
      </x:c>
      <x:c r="F31" s="11" t="n">
        <x:f>F30-F29-F28</x:f>
        <x:v>0</x:v>
      </x:c>
      <x:c r="G31" s="11" t="n">
        <x:f>G30-G29-G28</x:f>
        <x:v>0</x:v>
      </x:c>
      <x:c r="H31" s="11" t="n">
        <x:f>H30-H29-H28</x:f>
        <x:v>0</x:v>
      </x:c>
      <x:c r="I31" s="11" t="n">
        <x:f>I30-I29-I28</x:f>
        <x:v>0</x:v>
      </x:c>
      <x:c r="J31" s="11" t="n">
        <x:f>J30-J29-J28</x:f>
        <x:v>0</x:v>
      </x:c>
      <x:c r="K31" s="11" t="n">
        <x:f>K30-K29-K28</x:f>
        <x:v>0</x:v>
      </x:c>
      <x:c r="L31" s="11" t="n">
        <x:f>L30-L29-L28</x:f>
        <x:v>0</x:v>
      </x:c>
      <x:c r="M31" s="11" t="n">
        <x:f>M30-M29-M28</x:f>
        <x:v>7.275957614183426e-12</x:v>
      </x:c>
    </x:row>
    <x:row r="32" ht="25" customHeight="1">
      <x:c r="A32" s="3" t="str">
        <x:v>فحص حركة المخزون</x:v>
      </x:c>
      <x:c r="B32" s="11" t="n">
        <x:f>B24-B21-B22+B23</x:f>
        <x:v>0</x:v>
      </x:c>
      <x:c r="C32" s="11" t="n">
        <x:f>C24-C21-C22+C23</x:f>
        <x:v>0</x:v>
      </x:c>
      <x:c r="D32" s="11" t="n">
        <x:f>D24-D21-D22+D23</x:f>
        <x:v>0</x:v>
      </x:c>
      <x:c r="E32" s="11" t="n">
        <x:f>E24-E21-E22+E23</x:f>
        <x:v>0</x:v>
      </x:c>
      <x:c r="F32" s="11" t="n">
        <x:f>F24-F21-F22+F23</x:f>
        <x:v>0</x:v>
      </x:c>
      <x:c r="G32" s="11" t="n">
        <x:f>G24-G21-G22+G23</x:f>
        <x:v>0</x:v>
      </x:c>
      <x:c r="H32" s="11" t="n">
        <x:f>H24-H21-H22+H23</x:f>
        <x:v>0</x:v>
      </x:c>
      <x:c r="I32" s="11" t="n">
        <x:f>I24-I21-I22+I23</x:f>
        <x:v>0</x:v>
      </x:c>
      <x:c r="J32" s="11" t="n">
        <x:f>J24-J21-J22+J23</x:f>
        <x:v>0</x:v>
      </x:c>
      <x:c r="K32" s="11" t="n">
        <x:f>K24-K21-K22+K23</x:f>
        <x:v>0</x:v>
      </x:c>
      <x:c r="L32" s="11" t="n">
        <x:f>L24-L21-L22+L23</x:f>
        <x:v>0</x:v>
      </x:c>
      <x:c r="M32" s="11" t="n">
        <x:f>M24-M21-M22+M23</x:f>
        <x:v>0</x:v>
      </x:c>
    </x:row>
    <x:row r="33" ht="25" customHeight="1">
      <x:c r="A33" s="3" t="str">
        <x:v>الهامش فوق مخزون الأمان</x:v>
      </x:c>
      <x:c r="B33" s="19" t="n">
        <x:f>B24-'الافتراضات'!$B$26</x:f>
        <x:v>600</x:v>
      </x:c>
      <x:c r="C33" s="19" t="n">
        <x:f>C24-'الافتراضات'!$B$26</x:f>
        <x:v>420</x:v>
      </x:c>
      <x:c r="D33" s="19" t="n">
        <x:f>D24-'الافتراضات'!$B$26</x:f>
        <x:v>200</x:v>
      </x:c>
      <x:c r="E33" s="19" t="n">
        <x:f>E24-'الافتراضات'!$B$26</x:f>
        <x:v>950</x:v>
      </x:c>
      <x:c r="F33" s="19" t="n">
        <x:f>F24-'الافتراضات'!$B$26</x:f>
        <x:v>670</x:v>
      </x:c>
      <x:c r="G33" s="19" t="n">
        <x:f>G24-'الافتراضات'!$B$26</x:f>
        <x:v>370</x:v>
      </x:c>
      <x:c r="H33" s="19" t="n">
        <x:f>H24-'الافتراضات'!$B$26</x:f>
        <x:v>1050</x:v>
      </x:c>
      <x:c r="I33" s="19" t="n">
        <x:f>I24-'الافتراضات'!$B$26</x:f>
        <x:v>710</x:v>
      </x:c>
      <x:c r="J33" s="19" t="n">
        <x:f>J24-'الافتراضات'!$B$26</x:f>
        <x:v>350</x:v>
      </x:c>
      <x:c r="K33" s="19" t="n">
        <x:f>K24-'الافتراضات'!$B$26</x:f>
        <x:v>970</x:v>
      </x:c>
      <x:c r="L33" s="19" t="n">
        <x:f>L24-'الافتراضات'!$B$26</x:f>
        <x:v>550</x:v>
      </x:c>
      <x:c r="M33" s="19" t="n">
        <x:f>M24-'الافتراضات'!$B$26</x:f>
        <x:v>100</x:v>
      </x:c>
    </x:row>
    <x:row r="34" ht="25" customHeight="1">
      <x:c r="A34" s="3"/>
      <x:c r="B34" s="4"/>
      <x:c r="C34" s="4"/>
      <x:c r="D34" s="4"/>
      <x:c r="E34" s="4"/>
      <x:c r="F34" s="4"/>
      <x:c r="G34" s="4"/>
      <x:c r="H34" s="4"/>
      <x:c r="I34" s="4"/>
      <x:c r="J34" s="4"/>
      <x:c r="K34" s="4"/>
      <x:c r="L34" s="4"/>
      <x:c r="M34" s="4"/>
    </x:row>
    <x:row r="35" ht="25" customHeight="1">
      <x:c r="A35" s="3"/>
      <x:c r="B35" s="4"/>
      <x:c r="C35" s="4"/>
      <x:c r="D35" s="4"/>
      <x:c r="E35" s="4"/>
      <x:c r="F35" s="4"/>
      <x:c r="G35" s="4"/>
      <x:c r="H35" s="4"/>
      <x:c r="I35" s="4"/>
      <x:c r="J35" s="4"/>
      <x:c r="K35" s="4"/>
      <x:c r="L35" s="4"/>
      <x:c r="M35" s="4"/>
    </x:row>
    <x:row r="36" ht="25" customHeight="1">
      <x:c r="A36" s="16" t="str">
        <x:v>النقد يستبعد توقيت ضريبة المدخلات والمخرجات. لا تمويل أو إهلاك أو زكاة/ضريبة دخل أو توزيعات. تكلفة المنتج مصروف عند البيع، أما النقد فيتبع دفعات المورد. قيمة المخزون الافتتاحي دفعت من تمويل البداية، ولا تخصم مرة ثانية.</x:v>
      </x:c>
      <x:c r="B36" s="17"/>
      <x:c r="C36" s="17"/>
      <x:c r="D36" s="17"/>
      <x:c r="E36" s="17"/>
      <x:c r="F36" s="17"/>
      <x:c r="G36" s="17"/>
      <x:c r="H36" s="17"/>
      <x:c r="I36" s="17"/>
      <x:c r="J36" s="17"/>
      <x:c r="K36" s="17"/>
      <x:c r="L36" s="17"/>
      <x:c r="M36" s="17"/>
    </x:row>
    <x:row r="37" ht="25" customHeight="1">
      <x:c r="A37" s="16"/>
      <x:c r="B37" s="17"/>
      <x:c r="C37" s="17"/>
      <x:c r="D37" s="17"/>
      <x:c r="E37" s="17"/>
      <x:c r="F37" s="17"/>
      <x:c r="G37" s="17"/>
      <x:c r="H37" s="17"/>
      <x:c r="I37" s="17"/>
      <x:c r="J37" s="17"/>
      <x:c r="K37" s="17"/>
      <x:c r="L37" s="17"/>
      <x:c r="M37" s="17"/>
    </x:row>
    <x:row r="38" ht="25" customHeight="1">
      <x:c r="A38" s="16"/>
      <x:c r="B38" s="17"/>
      <x:c r="C38" s="17"/>
      <x:c r="D38" s="17"/>
      <x:c r="E38" s="17"/>
      <x:c r="F38" s="17"/>
      <x:c r="G38" s="17"/>
      <x:c r="H38" s="17"/>
      <x:c r="I38" s="17"/>
      <x:c r="J38" s="17"/>
      <x:c r="K38" s="17"/>
      <x:c r="L38" s="17"/>
      <x:c r="M38" s="17"/>
    </x:row>
    <x:row r="39" ht="25" customHeight="1">
      <x:c r="A39" s="3"/>
      <x:c r="B39" s="4"/>
      <x:c r="C39" s="4"/>
      <x:c r="D39" s="4"/>
      <x:c r="E39" s="4"/>
      <x:c r="F39" s="4"/>
      <x:c r="G39" s="4"/>
      <x:c r="H39" s="4"/>
      <x:c r="I39" s="4"/>
      <x:c r="J39" s="4"/>
      <x:c r="K39" s="4"/>
      <x:c r="L39" s="4"/>
      <x:c r="M39" s="4"/>
    </x:row>
    <x:row r="40" ht="25" customHeight="1">
      <x:c r="A40" s="3"/>
      <x:c r="B40" s="4"/>
      <x:c r="C40" s="4"/>
      <x:c r="D40" s="4"/>
      <x:c r="E40" s="4"/>
      <x:c r="F40" s="4"/>
      <x:c r="G40" s="4"/>
      <x:c r="H40" s="4"/>
      <x:c r="I40" s="4"/>
      <x:c r="J40" s="4"/>
      <x:c r="K40" s="4"/>
      <x:c r="L40" s="4"/>
      <x:c r="M40" s="4"/>
    </x:row>
    <x:row r="41" ht="25" customHeight="1">
      <x:c r="A41" s="3"/>
      <x:c r="B41" s="4"/>
      <x:c r="C41" s="4"/>
      <x:c r="D41" s="4"/>
      <x:c r="E41" s="4"/>
      <x:c r="F41" s="4"/>
      <x:c r="G41" s="4"/>
      <x:c r="H41" s="4"/>
      <x:c r="I41" s="4"/>
      <x:c r="J41" s="4"/>
      <x:c r="K41" s="4"/>
      <x:c r="L41" s="4"/>
      <x:c r="M41" s="4"/>
    </x:row>
    <x:row r="42" ht="25" customHeight="1">
      <x:c r="A42" s="3"/>
      <x:c r="B42" s="4"/>
      <x:c r="C42" s="4"/>
      <x:c r="D42" s="4"/>
      <x:c r="E42" s="4"/>
      <x:c r="F42" s="4"/>
      <x:c r="G42" s="4"/>
      <x:c r="H42" s="4"/>
      <x:c r="I42" s="4"/>
      <x:c r="J42" s="4"/>
      <x:c r="K42" s="4"/>
      <x:c r="L42" s="4"/>
      <x:c r="M42" s="4"/>
    </x:row>
    <x:row r="43" ht="25" customHeight="1">
      <x:c r="A43" s="3"/>
      <x:c r="B43" s="4"/>
      <x:c r="C43" s="4"/>
      <x:c r="D43" s="4"/>
      <x:c r="E43" s="4"/>
      <x:c r="F43" s="4"/>
      <x:c r="G43" s="4"/>
      <x:c r="H43" s="4"/>
      <x:c r="I43" s="4"/>
      <x:c r="J43" s="4"/>
      <x:c r="K43" s="4"/>
      <x:c r="L43" s="4"/>
      <x:c r="M43" s="4"/>
    </x:row>
    <x:row r="44" ht="25" customHeight="1">
      <x:c r="A44" s="3"/>
      <x:c r="B44" s="4"/>
      <x:c r="C44" s="4"/>
      <x:c r="D44" s="4"/>
      <x:c r="E44" s="4"/>
      <x:c r="F44" s="4"/>
      <x:c r="G44" s="4"/>
      <x:c r="H44" s="4"/>
      <x:c r="I44" s="4"/>
      <x:c r="J44" s="4"/>
      <x:c r="K44" s="4"/>
      <x:c r="L44" s="4"/>
      <x:c r="M44" s="4"/>
    </x:row>
    <x:row r="45" ht="25" customHeight="1">
      <x:c r="A45" s="3"/>
      <x:c r="B45" s="4"/>
      <x:c r="C45" s="4"/>
      <x:c r="D45" s="4"/>
      <x:c r="E45" s="4"/>
      <x:c r="F45" s="4"/>
      <x:c r="G45" s="4"/>
      <x:c r="H45" s="4"/>
      <x:c r="I45" s="4"/>
      <x:c r="J45" s="4"/>
      <x:c r="K45" s="4"/>
      <x:c r="L45" s="4"/>
      <x:c r="M45" s="4"/>
    </x:row>
    <x:row r="46" ht="25" customHeight="1">
      <x:c r="A46" s="3"/>
      <x:c r="B46" s="4"/>
      <x:c r="C46" s="4"/>
      <x:c r="D46" s="4"/>
      <x:c r="E46" s="4"/>
      <x:c r="F46" s="4"/>
      <x:c r="G46" s="4"/>
      <x:c r="H46" s="4"/>
      <x:c r="I46" s="4"/>
      <x:c r="J46" s="4"/>
      <x:c r="K46" s="4"/>
      <x:c r="L46" s="4"/>
      <x:c r="M46" s="4"/>
    </x:row>
    <x:row r="47" ht="25" customHeight="1">
      <x:c r="A47" s="3"/>
      <x:c r="B47" s="4"/>
      <x:c r="C47" s="4"/>
      <x:c r="D47" s="4"/>
      <x:c r="E47" s="4"/>
      <x:c r="F47" s="4"/>
      <x:c r="G47" s="4"/>
      <x:c r="H47" s="4"/>
      <x:c r="I47" s="4"/>
      <x:c r="J47" s="4"/>
      <x:c r="K47" s="4"/>
      <x:c r="L47" s="4"/>
      <x:c r="M47" s="4"/>
    </x:row>
    <x:row r="48" ht="25" customHeight="1">
      <x:c r="A48" s="3"/>
      <x:c r="B48" s="4"/>
      <x:c r="C48" s="4"/>
      <x:c r="D48" s="4"/>
      <x:c r="E48" s="4"/>
      <x:c r="F48" s="4"/>
      <x:c r="G48" s="4"/>
      <x:c r="H48" s="4"/>
      <x:c r="I48" s="4"/>
      <x:c r="J48" s="4"/>
      <x:c r="K48" s="4"/>
      <x:c r="L48" s="4"/>
      <x:c r="M48" s="4"/>
    </x:row>
    <x:row r="49" ht="25" customHeight="1">
      <x:c r="A49" s="3"/>
      <x:c r="B49" s="4"/>
      <x:c r="C49" s="4"/>
      <x:c r="D49" s="4"/>
      <x:c r="E49" s="4"/>
      <x:c r="F49" s="4"/>
      <x:c r="G49" s="4"/>
      <x:c r="H49" s="4"/>
      <x:c r="I49" s="4"/>
      <x:c r="J49" s="4"/>
      <x:c r="K49" s="4"/>
      <x:c r="L49" s="4"/>
      <x:c r="M49" s="4"/>
    </x:row>
    <x:row r="50" ht="25" customHeight="1">
      <x:c r="A50" s="3"/>
      <x:c r="B50" s="4"/>
      <x:c r="C50" s="4"/>
      <x:c r="D50" s="4"/>
      <x:c r="E50" s="4"/>
      <x:c r="F50" s="4"/>
      <x:c r="G50" s="4"/>
      <x:c r="H50" s="4"/>
      <x:c r="I50" s="4"/>
      <x:c r="J50" s="4"/>
      <x:c r="K50" s="4"/>
      <x:c r="L50" s="4"/>
      <x:c r="M50" s="4"/>
    </x:row>
    <x:row r="51" ht="25" customHeight="1">
      <x:c r="A51" s="3"/>
      <x:c r="B51" s="4"/>
      <x:c r="C51" s="4"/>
      <x:c r="D51" s="4"/>
      <x:c r="E51" s="4"/>
      <x:c r="F51" s="4"/>
      <x:c r="G51" s="4"/>
      <x:c r="H51" s="4"/>
      <x:c r="I51" s="4"/>
      <x:c r="J51" s="4"/>
      <x:c r="K51" s="4"/>
      <x:c r="L51" s="4"/>
      <x:c r="M51" s="4"/>
    </x:row>
    <x:row r="52" ht="25" customHeight="1">
      <x:c r="A52" s="3"/>
      <x:c r="B52" s="4"/>
      <x:c r="C52" s="4"/>
      <x:c r="D52" s="4"/>
      <x:c r="E52" s="4"/>
      <x:c r="F52" s="4"/>
      <x:c r="G52" s="4"/>
      <x:c r="H52" s="4"/>
      <x:c r="I52" s="4"/>
      <x:c r="J52" s="4"/>
      <x:c r="K52" s="4"/>
      <x:c r="L52" s="4"/>
      <x:c r="M52" s="4"/>
    </x:row>
    <x:row r="53" ht="25" customHeight="1">
      <x:c r="A53" s="3"/>
      <x:c r="B53" s="4"/>
      <x:c r="C53" s="4"/>
      <x:c r="D53" s="4"/>
      <x:c r="E53" s="4"/>
      <x:c r="F53" s="4"/>
      <x:c r="G53" s="4"/>
      <x:c r="H53" s="4"/>
      <x:c r="I53" s="4"/>
      <x:c r="J53" s="4"/>
      <x:c r="K53" s="4"/>
      <x:c r="L53" s="4"/>
      <x:c r="M53" s="4"/>
    </x:row>
    <x:row r="54" ht="25" customHeight="1">
      <x:c r="A54" s="3"/>
      <x:c r="B54" s="4"/>
      <x:c r="C54" s="4"/>
      <x:c r="D54" s="4"/>
      <x:c r="E54" s="4"/>
      <x:c r="F54" s="4"/>
      <x:c r="G54" s="4"/>
      <x:c r="H54" s="4"/>
      <x:c r="I54" s="4"/>
      <x:c r="J54" s="4"/>
      <x:c r="K54" s="4"/>
      <x:c r="L54" s="4"/>
      <x:c r="M54" s="4"/>
    </x:row>
    <x:row r="55" ht="25" customHeight="1">
      <x:c r="A55" s="3"/>
      <x:c r="B55" s="4"/>
      <x:c r="C55" s="4"/>
      <x:c r="D55" s="4"/>
      <x:c r="E55" s="4"/>
      <x:c r="F55" s="4"/>
      <x:c r="G55" s="4"/>
      <x:c r="H55" s="4"/>
      <x:c r="I55" s="4"/>
      <x:c r="J55" s="4"/>
      <x:c r="K55" s="4"/>
      <x:c r="L55" s="4"/>
      <x:c r="M55" s="4"/>
    </x:row>
    <x:row r="56" ht="25" customHeight="1">
      <x:c r="A56" s="3"/>
      <x:c r="B56" s="4"/>
      <x:c r="C56" s="4"/>
      <x:c r="D56" s="4"/>
      <x:c r="E56" s="4"/>
      <x:c r="F56" s="4"/>
      <x:c r="G56" s="4"/>
      <x:c r="H56" s="4"/>
      <x:c r="I56" s="4"/>
      <x:c r="J56" s="4"/>
      <x:c r="K56" s="4"/>
      <x:c r="L56" s="4"/>
      <x:c r="M56" s="4"/>
    </x:row>
    <x:row r="57" ht="25" customHeight="1">
      <x:c r="A57" s="3"/>
      <x:c r="B57" s="4"/>
      <x:c r="C57" s="4"/>
      <x:c r="D57" s="4"/>
      <x:c r="E57" s="4"/>
      <x:c r="F57" s="4"/>
      <x:c r="G57" s="4"/>
      <x:c r="H57" s="4"/>
      <x:c r="I57" s="4"/>
      <x:c r="J57" s="4"/>
      <x:c r="K57" s="4"/>
      <x:c r="L57" s="4"/>
      <x:c r="M57" s="4"/>
    </x:row>
    <x:row r="58" ht="25" customHeight="1">
      <x:c r="A58" s="3"/>
      <x:c r="B58" s="4"/>
      <x:c r="C58" s="4"/>
      <x:c r="D58" s="4"/>
      <x:c r="E58" s="4"/>
      <x:c r="F58" s="4"/>
      <x:c r="G58" s="4"/>
      <x:c r="H58" s="4"/>
      <x:c r="I58" s="4"/>
      <x:c r="J58" s="4"/>
      <x:c r="K58" s="4"/>
      <x:c r="L58" s="4"/>
      <x:c r="M58" s="4"/>
    </x:row>
    <x:row r="59" ht="25" customHeight="1">
      <x:c r="A59" s="3"/>
      <x:c r="B59" s="4"/>
      <x:c r="C59" s="4"/>
      <x:c r="D59" s="4"/>
      <x:c r="E59" s="4"/>
      <x:c r="F59" s="4"/>
      <x:c r="G59" s="4"/>
      <x:c r="H59" s="4"/>
      <x:c r="I59" s="4"/>
      <x:c r="J59" s="4"/>
      <x:c r="K59" s="4"/>
      <x:c r="L59" s="4"/>
      <x:c r="M59" s="4"/>
    </x:row>
    <x:row r="60" ht="25" customHeight="1">
      <x:c r="A60" s="3"/>
      <x:c r="B60" s="4"/>
      <x:c r="C60" s="4"/>
      <x:c r="D60" s="4"/>
      <x:c r="E60" s="4"/>
      <x:c r="F60" s="4"/>
      <x:c r="G60" s="4"/>
      <x:c r="H60" s="4"/>
      <x:c r="I60" s="4"/>
      <x:c r="J60" s="4"/>
      <x:c r="K60" s="4"/>
      <x:c r="L60" s="4"/>
      <x:c r="M60" s="4"/>
    </x:row>
  </x:sheetData>
  <x:mergeCells>
    <x:mergeCell ref="A1:M1"/>
    <x:mergeCell ref="A2:D3"/>
    <x:mergeCell ref="A36:M38"/>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3.33000183105469" hidden="0" customWidth="1"/>
    <x:col min="2" max="2" width="19.440000534057617" hidden="0" customWidth="1"/>
    <x:col min="3" max="3" width="19.440000534057617" hidden="0" customWidth="1"/>
    <x:col min="4" max="4" width="19.440000534057617" hidden="0" customWidth="1"/>
  </x:cols>
  <x:sheetData>
    <x:row r="1" ht="30" customHeight="1">
      <x:c r="A1" s="6" t="str">
        <x:v>AEVU | إيڤو — السيناريوهات</x:v>
      </x:c>
      <x:c r="B1" s="6"/>
      <x:c r="C1" s="6"/>
      <x:c r="D1" s="6"/>
      <x:c r="E1" s="3"/>
      <x:c r="F1" s="3"/>
      <x:c r="G1" s="3"/>
      <x:c r="H1" s="3"/>
      <x:c r="I1" s="3"/>
      <x:c r="J1" s="3"/>
      <x:c r="K1" s="3"/>
      <x:c r="L1" s="3"/>
      <x:c r="M1" s="3"/>
    </x:row>
    <x:row r="2" ht="25" customHeight="1">
      <x:c r="A2" s="8" t="str">
        <x:v>دراسة تصورية • 7 سبتمبر 2026 • ريال سعودي • المدخلات باللون الأزرق، المعادلات بالأسود، وروابط الأوراق بالأخضر.</x:v>
      </x:c>
      <x:c r="B2" s="8"/>
      <x:c r="C2" s="8"/>
      <x:c r="D2" s="8"/>
      <x:c r="E2" s="3"/>
      <x:c r="F2" s="3"/>
      <x:c r="G2" s="3"/>
      <x:c r="H2" s="3"/>
      <x:c r="I2" s="3"/>
      <x:c r="J2" s="3"/>
      <x:c r="K2" s="3"/>
      <x:c r="L2" s="3"/>
      <x:c r="M2" s="3"/>
    </x:row>
    <x:row r="3" ht="25" customHeight="1">
      <x:c r="A3" s="8"/>
      <x:c r="B3" s="8"/>
      <x:c r="C3" s="8"/>
      <x:c r="D3" s="8"/>
      <x:c r="E3" s="3"/>
      <x:c r="F3" s="3"/>
      <x:c r="G3" s="3"/>
      <x:c r="H3" s="3"/>
      <x:c r="I3" s="3"/>
      <x:c r="J3" s="3"/>
      <x:c r="K3" s="3"/>
      <x:c r="L3" s="3"/>
      <x:c r="M3" s="3"/>
    </x:row>
    <x:row r="4" ht="25" customHeight="1">
      <x:c r="A4" s="3"/>
      <x:c r="B4" s="3"/>
      <x:c r="C4" s="3"/>
      <x:c r="D4" s="3"/>
      <x:c r="E4" s="3"/>
      <x:c r="F4" s="3"/>
      <x:c r="G4" s="3"/>
      <x:c r="H4" s="3"/>
      <x:c r="I4" s="3"/>
      <x:c r="J4" s="3"/>
      <x:c r="K4" s="3"/>
      <x:c r="L4" s="3"/>
      <x:c r="M4" s="3"/>
    </x:row>
    <x:row r="5" ht="25" customHeight="1">
      <x:c r="A5" s="3"/>
      <x:c r="B5" s="3" t="str">
        <x:v>متحفظ</x:v>
      </x:c>
      <x:c r="C5" s="3" t="str">
        <x:v>أساسي</x:v>
      </x:c>
      <x:c r="D5" s="3" t="str">
        <x:v>متفائل</x:v>
      </x:c>
      <x:c r="E5" s="3"/>
      <x:c r="F5" s="3"/>
      <x:c r="G5" s="3"/>
      <x:c r="H5" s="3"/>
      <x:c r="I5" s="3"/>
      <x:c r="J5" s="3"/>
      <x:c r="K5" s="3"/>
      <x:c r="L5" s="3"/>
      <x:c r="M5" s="3"/>
    </x:row>
    <x:row r="6" ht="25" customHeight="1">
      <x:c r="A6" s="3" t="str">
        <x:v>سعر المستهلك</x:v>
      </x:c>
      <x:c r="B6" s="10" t="n">
        <x:v>249</x:v>
      </x:c>
      <x:c r="C6" s="19" t="n">
        <x:f>'الافتراضات'!B6</x:f>
        <x:v>249</x:v>
      </x:c>
      <x:c r="D6" s="10" t="n">
        <x:v>269</x:v>
      </x:c>
      <x:c r="E6" s="4"/>
      <x:c r="F6" s="4"/>
      <x:c r="G6" s="4"/>
      <x:c r="H6" s="4"/>
      <x:c r="I6" s="4"/>
      <x:c r="J6" s="4"/>
      <x:c r="K6" s="4"/>
      <x:c r="L6" s="4"/>
      <x:c r="M6" s="4"/>
    </x:row>
    <x:row r="7" ht="25" customHeight="1">
      <x:c r="A7" s="3" t="str">
        <x:v>القيمة المضافة</x:v>
      </x:c>
      <x:c r="B7" s="20" t="n">
        <x:v>0.15</x:v>
      </x:c>
      <x:c r="C7" s="31" t="n">
        <x:f>'الافتراضات'!B7</x:f>
        <x:v>0.15</x:v>
      </x:c>
      <x:c r="D7" s="20" t="n">
        <x:v>0.15</x:v>
      </x:c>
      <x:c r="E7" s="4"/>
      <x:c r="F7" s="4"/>
      <x:c r="G7" s="4"/>
      <x:c r="H7" s="4"/>
      <x:c r="I7" s="4"/>
      <x:c r="J7" s="4"/>
      <x:c r="K7" s="4"/>
      <x:c r="L7" s="4"/>
      <x:c r="M7" s="4"/>
    </x:row>
    <x:row r="8" ht="25" customHeight="1">
      <x:c r="A8" s="3" t="str">
        <x:v>متوسط الخصم</x:v>
      </x:c>
      <x:c r="B8" s="20" t="n">
        <x:v>0.12</x:v>
      </x:c>
      <x:c r="C8" s="31" t="n">
        <x:f>'الافتراضات'!B8</x:f>
        <x:v>0.08</x:v>
      </x:c>
      <x:c r="D8" s="20" t="n">
        <x:v>0.05</x:v>
      </x:c>
      <x:c r="E8" s="4"/>
      <x:c r="F8" s="4"/>
      <x:c r="G8" s="4"/>
      <x:c r="H8" s="4"/>
      <x:c r="I8" s="4"/>
      <x:c r="J8" s="4"/>
      <x:c r="K8" s="4"/>
      <x:c r="L8" s="4"/>
      <x:c r="M8" s="4"/>
    </x:row>
    <x:row r="9" ht="25" customHeight="1">
      <x:c r="A9" s="3" t="str">
        <x:v>الإيراد المسترد</x:v>
      </x:c>
      <x:c r="B9" s="20" t="n">
        <x:v>0.04</x:v>
      </x:c>
      <x:c r="C9" s="31" t="n">
        <x:f>'الافتراضات'!B9</x:f>
        <x:v>0.02</x:v>
      </x:c>
      <x:c r="D9" s="20" t="n">
        <x:v>0.01</x:v>
      </x:c>
      <x:c r="E9" s="4"/>
      <x:c r="F9" s="4"/>
      <x:c r="G9" s="4"/>
      <x:c r="H9" s="4"/>
      <x:c r="I9" s="4"/>
      <x:c r="J9" s="4"/>
      <x:c r="K9" s="4"/>
      <x:c r="L9" s="4"/>
      <x:c r="M9" s="4"/>
    </x:row>
    <x:row r="10" ht="25" customHeight="1">
      <x:c r="A10" s="3" t="str">
        <x:v>تكلفة المنتج</x:v>
      </x:c>
      <x:c r="B10" s="10" t="n">
        <x:v>70</x:v>
      </x:c>
      <x:c r="C10" s="19" t="n">
        <x:f>'الافتراضات'!B10</x:f>
        <x:v>62</x:v>
      </x:c>
      <x:c r="D10" s="10" t="n">
        <x:v>60</x:v>
      </x:c>
      <x:c r="E10" s="4"/>
      <x:c r="F10" s="4"/>
      <x:c r="G10" s="4"/>
      <x:c r="H10" s="4"/>
      <x:c r="I10" s="4"/>
      <x:c r="J10" s="4"/>
      <x:c r="K10" s="4"/>
      <x:c r="L10" s="4"/>
      <x:c r="M10" s="4"/>
    </x:row>
    <x:row r="11" ht="25" customHeight="1">
      <x:c r="A11" s="3" t="str">
        <x:v>التجهيز</x:v>
      </x:c>
      <x:c r="B11" s="10" t="n">
        <x:v>6</x:v>
      </x:c>
      <x:c r="C11" s="19" t="n">
        <x:f>'الافتراضات'!B11</x:f>
        <x:v>5</x:v>
      </x:c>
      <x:c r="D11" s="10" t="n">
        <x:v>5</x:v>
      </x:c>
      <x:c r="E11" s="4"/>
      <x:c r="F11" s="4"/>
      <x:c r="G11" s="4"/>
      <x:c r="H11" s="4"/>
      <x:c r="I11" s="4"/>
      <x:c r="J11" s="4"/>
      <x:c r="K11" s="4"/>
      <x:c r="L11" s="4"/>
      <x:c r="M11" s="4"/>
    </x:row>
    <x:row r="12" ht="25" customHeight="1">
      <x:c r="A12" s="3" t="str">
        <x:v>الشحن</x:v>
      </x:c>
      <x:c r="B12" s="10" t="n">
        <x:v>20</x:v>
      </x:c>
      <x:c r="C12" s="19" t="n">
        <x:f>'الافتراضات'!B12</x:f>
        <x:v>18</x:v>
      </x:c>
      <x:c r="D12" s="10" t="n">
        <x:v>17</x:v>
      </x:c>
      <x:c r="E12" s="4"/>
      <x:c r="F12" s="4"/>
      <x:c r="G12" s="4"/>
      <x:c r="H12" s="4"/>
      <x:c r="I12" s="4"/>
      <x:c r="J12" s="4"/>
      <x:c r="K12" s="4"/>
      <x:c r="L12" s="4"/>
      <x:c r="M12" s="4"/>
    </x:row>
    <x:row r="13" ht="25" customHeight="1">
      <x:c r="A13" s="3" t="str">
        <x:v>رسوم الدفع النسبية</x:v>
      </x:c>
      <x:c r="B13" s="20" t="n">
        <x:v>0.025</x:v>
      </x:c>
      <x:c r="C13" s="31" t="n">
        <x:f>'الافتراضات'!B13</x:f>
        <x:v>0.025</x:v>
      </x:c>
      <x:c r="D13" s="20" t="n">
        <x:v>0.025</x:v>
      </x:c>
      <x:c r="E13" s="4"/>
      <x:c r="F13" s="4"/>
      <x:c r="G13" s="4"/>
      <x:c r="H13" s="4"/>
      <x:c r="I13" s="4"/>
      <x:c r="J13" s="4"/>
      <x:c r="K13" s="4"/>
      <x:c r="L13" s="4"/>
      <x:c r="M13" s="4"/>
    </x:row>
    <x:row r="14" ht="25" customHeight="1">
      <x:c r="A14" s="3" t="str">
        <x:v>رسوم الدفع الثابتة</x:v>
      </x:c>
      <x:c r="B14" s="10" t="n">
        <x:v>1</x:v>
      </x:c>
      <x:c r="C14" s="19" t="n">
        <x:f>'الافتراضات'!B14</x:f>
        <x:v>1</x:v>
      </x:c>
      <x:c r="D14" s="10" t="n">
        <x:v>1</x:v>
      </x:c>
      <x:c r="E14" s="4"/>
      <x:c r="F14" s="4"/>
      <x:c r="G14" s="4"/>
      <x:c r="H14" s="4"/>
      <x:c r="I14" s="4"/>
      <x:c r="J14" s="4"/>
      <x:c r="K14" s="4"/>
      <x:c r="L14" s="4"/>
      <x:c r="M14" s="4"/>
    </x:row>
    <x:row r="15" ht="25" customHeight="1">
      <x:c r="A15" s="3" t="str">
        <x:v>مخصص معالجة المرتجعات</x:v>
      </x:c>
      <x:c r="B15" s="21" t="n">
        <x:v>4</x:v>
      </x:c>
      <x:c r="C15" s="32" t="n">
        <x:f>'الافتراضات'!B15</x:f>
        <x:v>2.5</x:v>
      </x:c>
      <x:c r="D15" s="21" t="n">
        <x:v>1.5</x:v>
      </x:c>
      <x:c r="E15" s="4"/>
      <x:c r="F15" s="4"/>
      <x:c r="G15" s="4"/>
      <x:c r="H15" s="4"/>
      <x:c r="I15" s="4"/>
      <x:c r="J15" s="4"/>
      <x:c r="K15" s="4"/>
      <x:c r="L15" s="4"/>
      <x:c r="M15" s="4"/>
    </x:row>
    <x:row r="16" ht="25" customHeight="1">
      <x:c r="A16" s="3" t="str">
        <x:v>تسويق متغير</x:v>
      </x:c>
      <x:c r="B16" s="10" t="n">
        <x:v>60</x:v>
      </x:c>
      <x:c r="C16" s="19" t="n">
        <x:f>'الافتراضات'!B16</x:f>
        <x:v>45</x:v>
      </x:c>
      <x:c r="D16" s="10" t="n">
        <x:v>35</x:v>
      </x:c>
      <x:c r="E16" s="4"/>
      <x:c r="F16" s="4"/>
      <x:c r="G16" s="4"/>
      <x:c r="H16" s="4"/>
      <x:c r="I16" s="4"/>
      <x:c r="J16" s="4"/>
      <x:c r="K16" s="4"/>
      <x:c r="L16" s="4"/>
      <x:c r="M16" s="4"/>
    </x:row>
    <x:row r="17" ht="25" customHeight="1">
      <x:c r="A17" s="3" t="str">
        <x:v>تكاليف ثابتة شهرية</x:v>
      </x:c>
      <x:c r="B17" s="10" t="n">
        <x:v>15000</x:v>
      </x:c>
      <x:c r="C17" s="19" t="n">
        <x:f>'الافتراضات'!B17</x:f>
        <x:v>15000</x:v>
      </x:c>
      <x:c r="D17" s="10" t="n">
        <x:v>18000</x:v>
      </x:c>
      <x:c r="E17" s="4"/>
      <x:c r="F17" s="4"/>
      <x:c r="G17" s="4"/>
      <x:c r="H17" s="4"/>
      <x:c r="I17" s="4"/>
      <x:c r="J17" s="4"/>
      <x:c r="K17" s="4"/>
      <x:c r="L17" s="4"/>
      <x:c r="M17" s="4"/>
    </x:row>
    <x:row r="18" ht="25" customHeight="1">
      <x:c r="A18" s="3" t="str">
        <x:v>مضاعف الحجم الأساسي</x:v>
      </x:c>
      <x:c r="B18" s="20" t="n">
        <x:v>0.7</x:v>
      </x:c>
      <x:c r="C18" s="20" t="n">
        <x:v>1</x:v>
      </x:c>
      <x:c r="D18" s="20" t="n">
        <x:v>1.3</x:v>
      </x:c>
      <x:c r="E18" s="4"/>
      <x:c r="F18" s="4"/>
      <x:c r="G18" s="4"/>
      <x:c r="H18" s="4"/>
      <x:c r="I18" s="4"/>
      <x:c r="J18" s="4"/>
      <x:c r="K18" s="4"/>
      <x:c r="L18" s="4"/>
      <x:c r="M18" s="4"/>
    </x:row>
    <x:row r="19" ht="25" customHeight="1">
      <x:c r="A19" s="3" t="str">
        <x:v>طلبات السنة</x:v>
      </x:c>
      <x:c r="B19" s="19" t="n">
        <x:f>ROUND(SUM('الافتراضات'!$B$51:$M$51)*B18,0)</x:f>
        <x:v>2555</x:v>
      </x:c>
      <x:c r="C19" s="19" t="n">
        <x:f>ROUND(SUM('الافتراضات'!$B$51:$M$51)*C18,0)</x:f>
        <x:v>3650</x:v>
      </x:c>
      <x:c r="D19" s="19" t="n">
        <x:f>ROUND(SUM('الافتراضات'!$B$51:$M$51)*D18,0)</x:f>
        <x:v>4745</x:v>
      </x:c>
      <x:c r="E19" s="4"/>
      <x:c r="F19" s="4"/>
      <x:c r="G19" s="4"/>
      <x:c r="H19" s="4"/>
      <x:c r="I19" s="4"/>
      <x:c r="J19" s="4"/>
      <x:c r="K19" s="4"/>
      <x:c r="L19" s="4"/>
      <x:c r="M19" s="4"/>
    </x:row>
    <x:row r="20" ht="25" customHeight="1">
      <x:c r="A20" s="3"/>
      <x:c r="B20" s="4"/>
      <x:c r="C20" s="4"/>
      <x:c r="D20" s="4"/>
      <x:c r="E20" s="4"/>
      <x:c r="F20" s="4"/>
      <x:c r="G20" s="4"/>
      <x:c r="H20" s="4"/>
      <x:c r="I20" s="4"/>
      <x:c r="J20" s="4"/>
      <x:c r="K20" s="4"/>
      <x:c r="L20" s="4"/>
      <x:c r="M20" s="4"/>
    </x:row>
    <x:row r="21" ht="25" customHeight="1">
      <x:c r="A21" s="3" t="str">
        <x:v>محصل الطلب</x:v>
      </x:c>
      <x:c r="B21" s="23" t="n">
        <x:f>B6*(1-B8)</x:f>
        <x:v>219.12</x:v>
      </x:c>
      <x:c r="C21" s="23" t="n">
        <x:f>C6*(1-C8)</x:f>
        <x:v>229.08</x:v>
      </x:c>
      <x:c r="D21" s="23" t="n">
        <x:f>D6*(1-D8)</x:f>
        <x:v>255.54999999999998</x:v>
      </x:c>
      <x:c r="E21" s="4"/>
      <x:c r="F21" s="4"/>
      <x:c r="G21" s="4"/>
      <x:c r="H21" s="4"/>
      <x:c r="I21" s="4"/>
      <x:c r="J21" s="4"/>
      <x:c r="K21" s="4"/>
      <x:c r="L21" s="4"/>
      <x:c r="M21" s="4"/>
    </x:row>
    <x:row r="22" ht="25" customHeight="1">
      <x:c r="A22" s="3" t="str">
        <x:v>إيراد صاف للطلب</x:v>
      </x:c>
      <x:c r="B22" s="23" t="n">
        <x:f>B21*(1-B9)/(1+B7)</x:f>
        <x:v>182.9175652173913</x:v>
      </x:c>
      <x:c r="C22" s="23" t="n">
        <x:f>C21*(1-C9)/(1+C7)</x:f>
        <x:v>195.216</x:v>
      </x:c>
      <x:c r="D22" s="23" t="n">
        <x:f>D21*(1-D9)/(1+D7)</x:f>
        <x:v>219.99521739130435</x:v>
      </x:c>
      <x:c r="E22" s="4"/>
      <x:c r="F22" s="4"/>
      <x:c r="G22" s="4"/>
      <x:c r="H22" s="4"/>
      <x:c r="I22" s="4"/>
      <x:c r="J22" s="4"/>
      <x:c r="K22" s="4"/>
      <x:c r="L22" s="4"/>
      <x:c r="M22" s="4"/>
    </x:row>
    <x:row r="23" ht="25" customHeight="1">
      <x:c r="A23" s="3" t="str">
        <x:v>رسوم الدفع للطلب</x:v>
      </x:c>
      <x:c r="B23" s="23" t="n">
        <x:f>B21*B13+B14</x:f>
        <x:v>6.478000000000001</x:v>
      </x:c>
      <x:c r="C23" s="23" t="n">
        <x:f>C21*C13+C14</x:f>
        <x:v>6.727</x:v>
      </x:c>
      <x:c r="D23" s="23" t="n">
        <x:f>D21*D13+D14</x:f>
        <x:v>7.38875</x:v>
      </x:c>
      <x:c r="E23" s="4"/>
      <x:c r="F23" s="4"/>
      <x:c r="G23" s="4"/>
      <x:c r="H23" s="4"/>
      <x:c r="I23" s="4"/>
      <x:c r="J23" s="4"/>
      <x:c r="K23" s="4"/>
      <x:c r="L23" s="4"/>
      <x:c r="M23" s="4"/>
    </x:row>
    <x:row r="24" ht="25" customHeight="1">
      <x:c r="A24" s="3" t="str">
        <x:v>متغير الطلب</x:v>
      </x:c>
      <x:c r="B24" s="23" t="n">
        <x:f>SUM(B10:B12)+B23+B15+B16</x:f>
        <x:v>166.478</x:v>
      </x:c>
      <x:c r="C24" s="23" t="n">
        <x:f>SUM(C10:C12)+C23+C15+C16</x:f>
        <x:v>139.227</x:v>
      </x:c>
      <x:c r="D24" s="23" t="n">
        <x:f>SUM(D10:D12)+D23+D15+D16</x:f>
        <x:v>125.88875</x:v>
      </x:c>
      <x:c r="E24" s="4"/>
      <x:c r="F24" s="4"/>
      <x:c r="G24" s="4"/>
      <x:c r="H24" s="4"/>
      <x:c r="I24" s="4"/>
      <x:c r="J24" s="4"/>
      <x:c r="K24" s="4"/>
      <x:c r="L24" s="4"/>
      <x:c r="M24" s="4"/>
    </x:row>
    <x:row r="25" ht="25" customHeight="1">
      <x:c r="A25" s="3" t="str">
        <x:v>مساهمة الطلب</x:v>
      </x:c>
      <x:c r="B25" s="23" t="n">
        <x:f>B22-B24</x:f>
        <x:v>16.439565217391305</x:v>
      </x:c>
      <x:c r="C25" s="23" t="n">
        <x:f>C22-C24</x:f>
        <x:v>55.989000000000004</x:v>
      </x:c>
      <x:c r="D25" s="23" t="n">
        <x:f>D22-D24</x:f>
        <x:v>94.10646739130435</x:v>
      </x:c>
      <x:c r="E25" s="4"/>
      <x:c r="F25" s="4"/>
      <x:c r="G25" s="4"/>
      <x:c r="H25" s="4"/>
      <x:c r="I25" s="4"/>
      <x:c r="J25" s="4"/>
      <x:c r="K25" s="4"/>
      <x:c r="L25" s="4"/>
      <x:c r="M25" s="4"/>
    </x:row>
    <x:row r="26" ht="25" customHeight="1">
      <x:c r="A26" s="3" t="str">
        <x:v>إيرادات السنة</x:v>
      </x:c>
      <x:c r="B26" s="11" t="n">
        <x:f>B19*B22</x:f>
        <x:v>467354.3791304348</x:v>
      </x:c>
      <x:c r="C26" s="11" t="n">
        <x:f>C19*C22</x:f>
        <x:v>712538.4</x:v>
      </x:c>
      <x:c r="D26" s="11" t="n">
        <x:f>D19*D22</x:f>
        <x:v>1043877.3065217391</x:v>
      </x:c>
      <x:c r="E26" s="4"/>
      <x:c r="F26" s="4"/>
      <x:c r="G26" s="4"/>
      <x:c r="H26" s="4"/>
      <x:c r="I26" s="4"/>
      <x:c r="J26" s="4"/>
      <x:c r="K26" s="4"/>
      <x:c r="L26" s="4"/>
      <x:c r="M26" s="4"/>
    </x:row>
    <x:row r="27" ht="25" customHeight="1">
      <x:c r="A27" s="25" t="str">
        <x:v>فائض تشغيل السنة</x:v>
      </x:c>
      <x:c r="B27" s="26" t="n">
        <x:f>B19*B25-B17*'الافتراضات'!$B$32</x:f>
        <x:v>-137996.9108695652</x:v>
      </x:c>
      <x:c r="C27" s="26" t="n">
        <x:f>C19*C25-C17*'الافتراضات'!$B$32</x:f>
        <x:v>24359.850000000006</x:v>
      </x:c>
      <x:c r="D27" s="26" t="n">
        <x:f>D19*D25-D17*'الافتراضات'!$B$32</x:f>
        <x:v>230535.18777173915</x:v>
      </x:c>
      <x:c r="E27" s="4"/>
      <x:c r="F27" s="4"/>
      <x:c r="G27" s="4"/>
      <x:c r="H27" s="4"/>
      <x:c r="I27" s="4"/>
      <x:c r="J27" s="4"/>
      <x:c r="K27" s="4"/>
      <x:c r="L27" s="4"/>
      <x:c r="M27" s="4"/>
    </x:row>
    <x:row r="28" ht="25" customHeight="1">
      <x:c r="A28" s="25" t="str">
        <x:v>التعادل — طلبات / شهر</x:v>
      </x:c>
      <x:c r="B28" s="29" t="n">
        <x:f>IF(B25&gt;0,ROUNDUP(B17/B25,0),"لا يوجد")</x:f>
        <x:v>913</x:v>
      </x:c>
      <x:c r="C28" s="29" t="n">
        <x:f>IF(C25&gt;0,ROUNDUP(C17/C25,0),"لا يوجد")</x:f>
        <x:v>268</x:v>
      </x:c>
      <x:c r="D28" s="29" t="n">
        <x:f>IF(D25&gt;0,ROUNDUP(D17/D25,0),"لا يوجد")</x:f>
        <x:v>192</x:v>
      </x:c>
      <x:c r="E28" s="4"/>
      <x:c r="F28" s="4"/>
      <x:c r="G28" s="4"/>
      <x:c r="H28" s="4"/>
      <x:c r="I28" s="4"/>
      <x:c r="J28" s="4"/>
      <x:c r="K28" s="4"/>
      <x:c r="L28" s="4"/>
      <x:c r="M28" s="4"/>
    </x:row>
    <x:row r="29" ht="25" customHeight="1">
      <x:c r="A29" s="3"/>
      <x:c r="B29" s="4"/>
      <x:c r="C29" s="4"/>
      <x:c r="D29" s="4"/>
      <x:c r="E29" s="4"/>
      <x:c r="F29" s="4"/>
      <x:c r="G29" s="4"/>
      <x:c r="H29" s="4"/>
      <x:c r="I29" s="4"/>
      <x:c r="J29" s="4"/>
      <x:c r="K29" s="4"/>
      <x:c r="L29" s="4"/>
      <x:c r="M29" s="4"/>
    </x:row>
    <x:row r="30" ht="25" customHeight="1">
      <x:c r="A30" s="3"/>
      <x:c r="B30" s="4"/>
      <x:c r="C30" s="4"/>
      <x:c r="D30" s="4"/>
      <x:c r="E30" s="4"/>
      <x:c r="F30" s="4"/>
      <x:c r="G30" s="4"/>
      <x:c r="H30" s="4"/>
      <x:c r="I30" s="4"/>
      <x:c r="J30" s="4"/>
      <x:c r="K30" s="4"/>
      <x:c r="L30" s="4"/>
      <x:c r="M30" s="4"/>
    </x:row>
    <x:row r="31" ht="30" customHeight="1">
      <x:c r="A31" s="6" t="str">
        <x:v>حساسية فائض السنة — السعر × تسويق كل طلب</x:v>
      </x:c>
      <x:c r="B31" s="15"/>
      <x:c r="C31" s="15"/>
      <x:c r="D31" s="15"/>
      <x:c r="E31" s="4"/>
      <x:c r="F31" s="4"/>
      <x:c r="G31" s="4"/>
      <x:c r="H31" s="4"/>
      <x:c r="I31" s="4"/>
      <x:c r="J31" s="4"/>
      <x:c r="K31" s="4"/>
      <x:c r="L31" s="4"/>
      <x:c r="M31" s="4"/>
    </x:row>
    <x:row r="32" ht="25" customHeight="1">
      <x:c r="A32" s="3"/>
      <x:c r="B32" s="4"/>
      <x:c r="C32" s="4"/>
      <x:c r="D32" s="4"/>
      <x:c r="E32" s="4"/>
      <x:c r="F32" s="4"/>
      <x:c r="G32" s="4"/>
      <x:c r="H32" s="4"/>
      <x:c r="I32" s="4"/>
      <x:c r="J32" s="4"/>
      <x:c r="K32" s="4"/>
      <x:c r="L32" s="4"/>
      <x:c r="M32" s="4"/>
    </x:row>
    <x:row r="33" ht="25" customHeight="1">
      <x:c r="A33" s="3" t="str">
        <x:v>سعر شامل الضريبة / تسويق</x:v>
      </x:c>
      <x:c r="B33" s="33" t="n">
        <x:v>35</x:v>
      </x:c>
      <x:c r="C33" s="33" t="n">
        <x:v>45</x:v>
      </x:c>
      <x:c r="D33" s="33" t="n">
        <x:v>55</x:v>
      </x:c>
      <x:c r="E33" s="4"/>
      <x:c r="F33" s="4"/>
      <x:c r="G33" s="4"/>
      <x:c r="H33" s="4"/>
      <x:c r="I33" s="4"/>
      <x:c r="J33" s="4"/>
      <x:c r="K33" s="4"/>
      <x:c r="L33" s="4"/>
      <x:c r="M33" s="4"/>
    </x:row>
    <x:row r="34" ht="25" customHeight="1">
      <x:c r="A34" s="34" t="n">
        <x:v>229</x:v>
      </x:c>
      <x:c r="B34" s="19" t="n">
        <x:f>SUM('الافتراضات'!$B$51:$M$51)*($A34*(1-'الافتراضات'!$B$8)*(1-'الافتراضات'!$B$9)/(1+'الافتراضات'!$B$7)-SUM('الافتراضات'!$B$10:$B$12)-$A34*(1-'الافتراضات'!$B$8)*'الافتراضات'!$B$13-'الافتراضات'!$B$14-'الافتراضات'!$B$15-B$33)-'الافتراضات'!$B$17*'الافتراضات'!$B$32</x:f>
        <x:v>5306.850000000006</x:v>
      </x:c>
      <x:c r="C34" s="19" t="n">
        <x:f>SUM('الافتراضات'!$B$51:$M$51)*($A34*(1-'الافتراضات'!$B$8)*(1-'الافتراضات'!$B$9)/(1+'الافتراضات'!$B$7)-SUM('الافتراضات'!$B$10:$B$12)-$A34*(1-'الافتراضات'!$B$8)*'الافتراضات'!$B$13-'الافتراضات'!$B$14-'الافتراضات'!$B$15-C$33)-'الافتراضات'!$B$17*'الافتراضات'!$B$32</x:f>
        <x:v>-31193.149999999994</x:v>
      </x:c>
      <x:c r="D34" s="19" t="n">
        <x:f>SUM('الافتراضات'!$B$51:$M$51)*($A34*(1-'الافتراضات'!$B$8)*(1-'الافتراضات'!$B$9)/(1+'الافتراضات'!$B$7)-SUM('الافتراضات'!$B$10:$B$12)-$A34*(1-'الافتراضات'!$B$8)*'الافتراضات'!$B$13-'الافتراضات'!$B$14-'الافتراضات'!$B$15-D$33)-'الافتراضات'!$B$17*'الافتراضات'!$B$32</x:f>
        <x:v>-67693.14999999998</x:v>
      </x:c>
      <x:c r="E34" s="4"/>
      <x:c r="F34" s="4"/>
      <x:c r="G34" s="4"/>
      <x:c r="H34" s="4"/>
      <x:c r="I34" s="4"/>
      <x:c r="J34" s="4"/>
      <x:c r="K34" s="4"/>
      <x:c r="L34" s="4"/>
      <x:c r="M34" s="4"/>
    </x:row>
    <x:row r="35" ht="25" customHeight="1">
      <x:c r="A35" s="34" t="n">
        <x:v>249</x:v>
      </x:c>
      <x:c r="B35" s="19" t="n">
        <x:f>SUM('الافتراضات'!$B$51:$M$51)*($A35*(1-'الافتراضات'!$B$8)*(1-'الافتراضات'!$B$9)/(1+'الافتراضات'!$B$7)-SUM('الافتراضات'!$B$10:$B$12)-$A35*(1-'الافتراضات'!$B$8)*'الافتراضات'!$B$13-'الافتراضات'!$B$14-'الافتراضات'!$B$15-B$33)-'الافتراضات'!$B$17*'الافتراضات'!$B$32</x:f>
        <x:v>60859.850000000006</x:v>
      </x:c>
      <x:c r="C35" s="19" t="n">
        <x:f>SUM('الافتراضات'!$B$51:$M$51)*($A35*(1-'الافتراضات'!$B$8)*(1-'الافتراضات'!$B$9)/(1+'الافتراضات'!$B$7)-SUM('الافتراضات'!$B$10:$B$12)-$A35*(1-'الافتراضات'!$B$8)*'الافتراضات'!$B$13-'الافتراضات'!$B$14-'الافتراضات'!$B$15-C$33)-'الافتراضات'!$B$17*'الافتراضات'!$B$32</x:f>
        <x:v>24359.850000000006</x:v>
      </x:c>
      <x:c r="D35" s="19" t="n">
        <x:f>SUM('الافتراضات'!$B$51:$M$51)*($A35*(1-'الافتراضات'!$B$8)*(1-'الافتراضات'!$B$9)/(1+'الافتراضات'!$B$7)-SUM('الافتراضات'!$B$10:$B$12)-$A35*(1-'الافتراضات'!$B$8)*'الافتراضات'!$B$13-'الافتراضات'!$B$14-'الافتراضات'!$B$15-D$33)-'الافتراضات'!$B$17*'الافتراضات'!$B$32</x:f>
        <x:v>-12140.149999999994</x:v>
      </x:c>
      <x:c r="E35" s="4"/>
      <x:c r="F35" s="4"/>
      <x:c r="G35" s="4"/>
      <x:c r="H35" s="4"/>
      <x:c r="I35" s="4"/>
      <x:c r="J35" s="4"/>
      <x:c r="K35" s="4"/>
      <x:c r="L35" s="4"/>
      <x:c r="M35" s="4"/>
    </x:row>
    <x:row r="36" ht="25" customHeight="1">
      <x:c r="A36" s="34" t="n">
        <x:v>269</x:v>
      </x:c>
      <x:c r="B36" s="19" t="n">
        <x:f>SUM('الافتراضات'!$B$51:$M$51)*($A36*(1-'الافتراضات'!$B$8)*(1-'الافتراضات'!$B$9)/(1+'الافتراضات'!$B$7)-SUM('الافتراضات'!$B$10:$B$12)-$A36*(1-'الافتراضات'!$B$8)*'الافتراضات'!$B$13-'الافتراضات'!$B$14-'الافتراضات'!$B$15-B$33)-'الافتراضات'!$B$17*'الافتراضات'!$B$32</x:f>
        <x:v>116412.85000000003</x:v>
      </x:c>
      <x:c r="C36" s="19" t="n">
        <x:f>SUM('الافتراضات'!$B$51:$M$51)*($A36*(1-'الافتراضات'!$B$8)*(1-'الافتراضات'!$B$9)/(1+'الافتراضات'!$B$7)-SUM('الافتراضات'!$B$10:$B$12)-$A36*(1-'الافتراضات'!$B$8)*'الافتراضات'!$B$13-'الافتراضات'!$B$14-'الافتراضات'!$B$15-C$33)-'الافتراضات'!$B$17*'الافتراضات'!$B$32</x:f>
        <x:v>79912.85000000006</x:v>
      </x:c>
      <x:c r="D36" s="19" t="n">
        <x:f>SUM('الافتراضات'!$B$51:$M$51)*($A36*(1-'الافتراضات'!$B$8)*(1-'الافتراضات'!$B$9)/(1+'الافتراضات'!$B$7)-SUM('الافتراضات'!$B$10:$B$12)-$A36*(1-'الافتراضات'!$B$8)*'الافتراضات'!$B$13-'الافتراضات'!$B$14-'الافتراضات'!$B$15-D$33)-'الافتراضات'!$B$17*'الافتراضات'!$B$32</x:f>
        <x:v>43412.850000000064</x:v>
      </x:c>
      <x:c r="E36" s="4"/>
      <x:c r="F36" s="4"/>
      <x:c r="G36" s="4"/>
      <x:c r="H36" s="4"/>
      <x:c r="I36" s="4"/>
      <x:c r="J36" s="4"/>
      <x:c r="K36" s="4"/>
      <x:c r="L36" s="4"/>
      <x:c r="M36" s="4"/>
    </x:row>
    <x:row r="37" ht="25" customHeight="1">
      <x:c r="A37" s="3"/>
      <x:c r="B37" s="4"/>
      <x:c r="C37" s="4"/>
      <x:c r="D37" s="4"/>
      <x:c r="E37" s="4"/>
      <x:c r="F37" s="4"/>
      <x:c r="G37" s="4"/>
      <x:c r="H37" s="4"/>
      <x:c r="I37" s="4"/>
      <x:c r="J37" s="4"/>
      <x:c r="K37" s="4"/>
      <x:c r="L37" s="4"/>
      <x:c r="M37" s="4"/>
    </x:row>
    <x:row r="38" ht="25" customHeight="1">
      <x:c r="A38" s="3"/>
      <x:c r="B38" s="4"/>
      <x:c r="C38" s="4"/>
      <x:c r="D38" s="4"/>
      <x:c r="E38" s="4"/>
      <x:c r="F38" s="4"/>
      <x:c r="G38" s="4"/>
      <x:c r="H38" s="4"/>
      <x:c r="I38" s="4"/>
      <x:c r="J38" s="4"/>
      <x:c r="K38" s="4"/>
      <x:c r="L38" s="4"/>
      <x:c r="M38" s="4"/>
    </x:row>
    <x:row r="39" ht="25" customHeight="1">
      <x:c r="A39" s="16" t="str">
        <x:v>السيناريوهات تقارن الربحية فقط؛ لا تعيد جدولة المخزون والتمويل تلقائيًا. انخفاض الطلب مع تكلفة مرتفعة قد يتطلب تأجيل الإطلاق. جدول الحساسية يثبت الحجم وبقية افتراضات الأساس ويغير السعر والتسويق فقط.</x:v>
      </x:c>
      <x:c r="B39" s="17"/>
      <x:c r="C39" s="17"/>
      <x:c r="D39" s="17"/>
      <x:c r="E39" s="4"/>
      <x:c r="F39" s="4"/>
      <x:c r="G39" s="4"/>
      <x:c r="H39" s="4"/>
      <x:c r="I39" s="4"/>
      <x:c r="J39" s="4"/>
      <x:c r="K39" s="4"/>
      <x:c r="L39" s="4"/>
      <x:c r="M39" s="4"/>
    </x:row>
    <x:row r="40" ht="25" customHeight="1">
      <x:c r="A40" s="16"/>
      <x:c r="B40" s="17"/>
      <x:c r="C40" s="17"/>
      <x:c r="D40" s="17"/>
      <x:c r="E40" s="4"/>
      <x:c r="F40" s="4"/>
      <x:c r="G40" s="4"/>
      <x:c r="H40" s="4"/>
      <x:c r="I40" s="4"/>
      <x:c r="J40" s="4"/>
      <x:c r="K40" s="4"/>
      <x:c r="L40" s="4"/>
      <x:c r="M40" s="4"/>
    </x:row>
    <x:row r="41" ht="25" customHeight="1">
      <x:c r="A41" s="16"/>
      <x:c r="B41" s="17"/>
      <x:c r="C41" s="17"/>
      <x:c r="D41" s="17"/>
      <x:c r="E41" s="4"/>
      <x:c r="F41" s="4"/>
      <x:c r="G41" s="4"/>
      <x:c r="H41" s="4"/>
      <x:c r="I41" s="4"/>
      <x:c r="J41" s="4"/>
      <x:c r="K41" s="4"/>
      <x:c r="L41" s="4"/>
      <x:c r="M41" s="4"/>
    </x:row>
    <x:row r="42" ht="25" customHeight="1">
      <x:c r="A42" s="16"/>
      <x:c r="B42" s="17"/>
      <x:c r="C42" s="17"/>
      <x:c r="D42" s="17"/>
      <x:c r="E42" s="4"/>
      <x:c r="F42" s="4"/>
      <x:c r="G42" s="4"/>
      <x:c r="H42" s="4"/>
      <x:c r="I42" s="4"/>
      <x:c r="J42" s="4"/>
      <x:c r="K42" s="4"/>
      <x:c r="L42" s="4"/>
      <x:c r="M42" s="4"/>
    </x:row>
    <x:row r="43" ht="25" customHeight="1">
      <x:c r="A43" s="3"/>
      <x:c r="B43" s="4"/>
      <x:c r="C43" s="4"/>
      <x:c r="D43" s="4"/>
      <x:c r="E43" s="4"/>
      <x:c r="F43" s="4"/>
      <x:c r="G43" s="4"/>
      <x:c r="H43" s="4"/>
      <x:c r="I43" s="4"/>
      <x:c r="J43" s="4"/>
      <x:c r="K43" s="4"/>
      <x:c r="L43" s="4"/>
      <x:c r="M43" s="4"/>
    </x:row>
    <x:row r="44" ht="25" customHeight="1">
      <x:c r="A44" s="3"/>
      <x:c r="B44" s="4"/>
      <x:c r="C44" s="4"/>
      <x:c r="D44" s="4"/>
      <x:c r="E44" s="4"/>
      <x:c r="F44" s="4"/>
      <x:c r="G44" s="4"/>
      <x:c r="H44" s="4"/>
      <x:c r="I44" s="4"/>
      <x:c r="J44" s="4"/>
      <x:c r="K44" s="4"/>
      <x:c r="L44" s="4"/>
      <x:c r="M44" s="4"/>
    </x:row>
    <x:row r="45" ht="25" customHeight="1">
      <x:c r="A45" s="3"/>
      <x:c r="B45" s="4"/>
      <x:c r="C45" s="4"/>
      <x:c r="D45" s="4"/>
      <x:c r="E45" s="4"/>
      <x:c r="F45" s="4"/>
      <x:c r="G45" s="4"/>
      <x:c r="H45" s="4"/>
      <x:c r="I45" s="4"/>
      <x:c r="J45" s="4"/>
      <x:c r="K45" s="4"/>
      <x:c r="L45" s="4"/>
      <x:c r="M45" s="4"/>
    </x:row>
    <x:row r="46" ht="25" customHeight="1">
      <x:c r="A46" s="3"/>
      <x:c r="B46" s="4"/>
      <x:c r="C46" s="4"/>
      <x:c r="D46" s="4"/>
      <x:c r="E46" s="4"/>
      <x:c r="F46" s="4"/>
      <x:c r="G46" s="4"/>
      <x:c r="H46" s="4"/>
      <x:c r="I46" s="4"/>
      <x:c r="J46" s="4"/>
      <x:c r="K46" s="4"/>
      <x:c r="L46" s="4"/>
      <x:c r="M46" s="4"/>
    </x:row>
    <x:row r="47" ht="25" customHeight="1">
      <x:c r="A47" s="3"/>
      <x:c r="B47" s="4"/>
      <x:c r="C47" s="4"/>
      <x:c r="D47" s="4"/>
      <x:c r="E47" s="4"/>
      <x:c r="F47" s="4"/>
      <x:c r="G47" s="4"/>
      <x:c r="H47" s="4"/>
      <x:c r="I47" s="4"/>
      <x:c r="J47" s="4"/>
      <x:c r="K47" s="4"/>
      <x:c r="L47" s="4"/>
      <x:c r="M47" s="4"/>
    </x:row>
    <x:row r="48" ht="25" customHeight="1">
      <x:c r="A48" s="3"/>
      <x:c r="B48" s="4"/>
      <x:c r="C48" s="4"/>
      <x:c r="D48" s="4"/>
      <x:c r="E48" s="4"/>
      <x:c r="F48" s="4"/>
      <x:c r="G48" s="4"/>
      <x:c r="H48" s="4"/>
      <x:c r="I48" s="4"/>
      <x:c r="J48" s="4"/>
      <x:c r="K48" s="4"/>
      <x:c r="L48" s="4"/>
      <x:c r="M48" s="4"/>
    </x:row>
    <x:row r="49" ht="25" customHeight="1">
      <x:c r="A49" s="3"/>
      <x:c r="B49" s="4"/>
      <x:c r="C49" s="4"/>
      <x:c r="D49" s="4"/>
      <x:c r="E49" s="4"/>
      <x:c r="F49" s="4"/>
      <x:c r="G49" s="4"/>
      <x:c r="H49" s="4"/>
      <x:c r="I49" s="4"/>
      <x:c r="J49" s="4"/>
      <x:c r="K49" s="4"/>
      <x:c r="L49" s="4"/>
      <x:c r="M49" s="4"/>
    </x:row>
    <x:row r="50" ht="25" customHeight="1">
      <x:c r="A50" s="3"/>
      <x:c r="B50" s="4"/>
      <x:c r="C50" s="4"/>
      <x:c r="D50" s="4"/>
      <x:c r="E50" s="4"/>
      <x:c r="F50" s="4"/>
      <x:c r="G50" s="4"/>
      <x:c r="H50" s="4"/>
      <x:c r="I50" s="4"/>
      <x:c r="J50" s="4"/>
      <x:c r="K50" s="4"/>
      <x:c r="L50" s="4"/>
      <x:c r="M50" s="4"/>
    </x:row>
    <x:row r="51" ht="25" customHeight="1">
      <x:c r="A51" s="3"/>
      <x:c r="B51" s="4"/>
      <x:c r="C51" s="4"/>
      <x:c r="D51" s="4"/>
      <x:c r="E51" s="4"/>
      <x:c r="F51" s="4"/>
      <x:c r="G51" s="4"/>
      <x:c r="H51" s="4"/>
      <x:c r="I51" s="4"/>
      <x:c r="J51" s="4"/>
      <x:c r="K51" s="4"/>
      <x:c r="L51" s="4"/>
      <x:c r="M51" s="4"/>
    </x:row>
    <x:row r="52" ht="25" customHeight="1">
      <x:c r="A52" s="3"/>
      <x:c r="B52" s="4"/>
      <x:c r="C52" s="4"/>
      <x:c r="D52" s="4"/>
      <x:c r="E52" s="4"/>
      <x:c r="F52" s="4"/>
      <x:c r="G52" s="4"/>
      <x:c r="H52" s="4"/>
      <x:c r="I52" s="4"/>
      <x:c r="J52" s="4"/>
      <x:c r="K52" s="4"/>
      <x:c r="L52" s="4"/>
      <x:c r="M52" s="4"/>
    </x:row>
    <x:row r="53" ht="25" customHeight="1">
      <x:c r="A53" s="3"/>
      <x:c r="B53" s="4"/>
      <x:c r="C53" s="4"/>
      <x:c r="D53" s="4"/>
      <x:c r="E53" s="4"/>
      <x:c r="F53" s="4"/>
      <x:c r="G53" s="4"/>
      <x:c r="H53" s="4"/>
      <x:c r="I53" s="4"/>
      <x:c r="J53" s="4"/>
      <x:c r="K53" s="4"/>
      <x:c r="L53" s="4"/>
      <x:c r="M53" s="4"/>
    </x:row>
    <x:row r="54" ht="25" customHeight="1">
      <x:c r="A54" s="3"/>
      <x:c r="B54" s="4"/>
      <x:c r="C54" s="4"/>
      <x:c r="D54" s="4"/>
      <x:c r="E54" s="4"/>
      <x:c r="F54" s="4"/>
      <x:c r="G54" s="4"/>
      <x:c r="H54" s="4"/>
      <x:c r="I54" s="4"/>
      <x:c r="J54" s="4"/>
      <x:c r="K54" s="4"/>
      <x:c r="L54" s="4"/>
      <x:c r="M54" s="4"/>
    </x:row>
    <x:row r="55" ht="25" customHeight="1">
      <x:c r="A55" s="3"/>
      <x:c r="B55" s="4"/>
      <x:c r="C55" s="4"/>
      <x:c r="D55" s="4"/>
      <x:c r="E55" s="4"/>
      <x:c r="F55" s="4"/>
      <x:c r="G55" s="4"/>
      <x:c r="H55" s="4"/>
      <x:c r="I55" s="4"/>
      <x:c r="J55" s="4"/>
      <x:c r="K55" s="4"/>
      <x:c r="L55" s="4"/>
      <x:c r="M55" s="4"/>
    </x:row>
    <x:row r="56" ht="25" customHeight="1">
      <x:c r="A56" s="3"/>
      <x:c r="B56" s="4"/>
      <x:c r="C56" s="4"/>
      <x:c r="D56" s="4"/>
      <x:c r="E56" s="4"/>
      <x:c r="F56" s="4"/>
      <x:c r="G56" s="4"/>
      <x:c r="H56" s="4"/>
      <x:c r="I56" s="4"/>
      <x:c r="J56" s="4"/>
      <x:c r="K56" s="4"/>
      <x:c r="L56" s="4"/>
      <x:c r="M56" s="4"/>
    </x:row>
    <x:row r="57" ht="25" customHeight="1">
      <x:c r="A57" s="3"/>
      <x:c r="B57" s="4"/>
      <x:c r="C57" s="4"/>
      <x:c r="D57" s="4"/>
      <x:c r="E57" s="4"/>
      <x:c r="F57" s="4"/>
      <x:c r="G57" s="4"/>
      <x:c r="H57" s="4"/>
      <x:c r="I57" s="4"/>
      <x:c r="J57" s="4"/>
      <x:c r="K57" s="4"/>
      <x:c r="L57" s="4"/>
      <x:c r="M57" s="4"/>
    </x:row>
    <x:row r="58" ht="25" customHeight="1">
      <x:c r="A58" s="3"/>
      <x:c r="B58" s="4"/>
      <x:c r="C58" s="4"/>
      <x:c r="D58" s="4"/>
      <x:c r="E58" s="4"/>
      <x:c r="F58" s="4"/>
      <x:c r="G58" s="4"/>
      <x:c r="H58" s="4"/>
      <x:c r="I58" s="4"/>
      <x:c r="J58" s="4"/>
      <x:c r="K58" s="4"/>
      <x:c r="L58" s="4"/>
      <x:c r="M58" s="4"/>
    </x:row>
    <x:row r="59" ht="25" customHeight="1">
      <x:c r="A59" s="3"/>
      <x:c r="B59" s="4"/>
      <x:c r="C59" s="4"/>
      <x:c r="D59" s="4"/>
      <x:c r="E59" s="4"/>
      <x:c r="F59" s="4"/>
      <x:c r="G59" s="4"/>
      <x:c r="H59" s="4"/>
      <x:c r="I59" s="4"/>
      <x:c r="J59" s="4"/>
      <x:c r="K59" s="4"/>
      <x:c r="L59" s="4"/>
      <x:c r="M59" s="4"/>
    </x:row>
    <x:row r="60" ht="25" customHeight="1">
      <x:c r="A60" s="3"/>
      <x:c r="B60" s="4"/>
      <x:c r="C60" s="4"/>
      <x:c r="D60" s="4"/>
      <x:c r="E60" s="4"/>
      <x:c r="F60" s="4"/>
      <x:c r="G60" s="4"/>
      <x:c r="H60" s="4"/>
      <x:c r="I60" s="4"/>
      <x:c r="J60" s="4"/>
      <x:c r="K60" s="4"/>
      <x:c r="L60" s="4"/>
      <x:c r="M60" s="4"/>
    </x:row>
  </x:sheetData>
  <x:mergeCells>
    <x:mergeCell ref="A1:D1"/>
    <x:mergeCell ref="A2:D3"/>
    <x:mergeCell ref="A31:D31"/>
    <x:mergeCell ref="A39:D42"/>
  </x:mergeCells>
  <x:pageMargins left="0.7" right="0.7" top="0.75" bottom="0.75" header="0.3" footer="0.3"/>
  <x:legacyDrawing xmlns:r="http://schemas.openxmlformats.org/officeDocument/2006/relationships" r:id="Rd5972e75d21c4ab9"/>
</x:worksheet>
</file>

<file path=xl/worksheets/sheet6.xml><?xml version="1.0" encoding="utf-8"?>
<x:worksheet xmlns:x="http://schemas.openxmlformats.org/spreadsheetml/2006/main">
  <x:sheetViews>
    <x:sheetView showGridLines="0" workbookViewId="0"/>
  </x:sheetViews>
  <x:sheetFormatPr defaultRowHeight="15"/>
  <x:cols>
    <x:col min="1" max="1" width="33.33000183105469" hidden="0" customWidth="1"/>
    <x:col min="2" max="2" width="19.440000534057617" hidden="0" customWidth="1"/>
    <x:col min="3" max="3" width="19.440000534057617" hidden="0" customWidth="1"/>
    <x:col min="4" max="4" width="19.440000534057617" hidden="0" customWidth="1"/>
  </x:cols>
  <x:sheetData>
    <x:row r="1" ht="30" customHeight="1">
      <x:c r="A1" s="6" t="str">
        <x:v>AEVU | إيڤو — ثلاث سنوات</x:v>
      </x:c>
      <x:c r="B1" s="6"/>
      <x:c r="C1" s="6"/>
      <x:c r="D1" s="6"/>
      <x:c r="E1" s="3"/>
      <x:c r="F1" s="3"/>
      <x:c r="G1" s="3"/>
      <x:c r="H1" s="3"/>
      <x:c r="I1" s="3"/>
      <x:c r="J1" s="3"/>
      <x:c r="K1" s="3"/>
      <x:c r="L1" s="3"/>
      <x:c r="M1" s="3"/>
    </x:row>
    <x:row r="2" ht="25" customHeight="1">
      <x:c r="A2" s="8" t="str">
        <x:v>دراسة تصورية • 7 سبتمبر 2026 • ريال سعودي • المدخلات باللون الأزرق، المعادلات بالأسود، وروابط الأوراق بالأخضر.</x:v>
      </x:c>
      <x:c r="B2" s="8"/>
      <x:c r="C2" s="8"/>
      <x:c r="D2" s="8"/>
      <x:c r="E2" s="3"/>
      <x:c r="F2" s="3"/>
      <x:c r="G2" s="3"/>
      <x:c r="H2" s="3"/>
      <x:c r="I2" s="3"/>
      <x:c r="J2" s="3"/>
      <x:c r="K2" s="3"/>
      <x:c r="L2" s="3"/>
      <x:c r="M2" s="3"/>
    </x:row>
    <x:row r="3" ht="25" customHeight="1">
      <x:c r="A3" s="8"/>
      <x:c r="B3" s="8"/>
      <x:c r="C3" s="8"/>
      <x:c r="D3" s="8"/>
      <x:c r="E3" s="3"/>
      <x:c r="F3" s="3"/>
      <x:c r="G3" s="3"/>
      <x:c r="H3" s="3"/>
      <x:c r="I3" s="3"/>
      <x:c r="J3" s="3"/>
      <x:c r="K3" s="3"/>
      <x:c r="L3" s="3"/>
      <x:c r="M3" s="3"/>
    </x:row>
    <x:row r="4" ht="25" customHeight="1">
      <x:c r="A4" s="3"/>
      <x:c r="B4" s="3"/>
      <x:c r="C4" s="3"/>
      <x:c r="D4" s="3"/>
      <x:c r="E4" s="3"/>
      <x:c r="F4" s="3"/>
      <x:c r="G4" s="3"/>
      <x:c r="H4" s="3"/>
      <x:c r="I4" s="3"/>
      <x:c r="J4" s="3"/>
      <x:c r="K4" s="3"/>
      <x:c r="L4" s="3"/>
      <x:c r="M4" s="3"/>
    </x:row>
    <x:row r="5" ht="25" customHeight="1">
      <x:c r="A5" s="3"/>
      <x:c r="B5" s="3" t="str">
        <x:v>السنة الأولى</x:v>
      </x:c>
      <x:c r="C5" s="3" t="str">
        <x:v>السنة الثانية</x:v>
      </x:c>
      <x:c r="D5" s="3" t="str">
        <x:v>السنة الثالثة</x:v>
      </x:c>
      <x:c r="E5" s="3"/>
      <x:c r="F5" s="3"/>
      <x:c r="G5" s="3"/>
      <x:c r="H5" s="3"/>
      <x:c r="I5" s="3"/>
      <x:c r="J5" s="3"/>
      <x:c r="K5" s="3"/>
      <x:c r="L5" s="3"/>
      <x:c r="M5" s="3"/>
    </x:row>
    <x:row r="6" ht="25" customHeight="1">
      <x:c r="A6" s="3" t="str">
        <x:v>طلبات السنة</x:v>
      </x:c>
      <x:c r="B6" s="19" t="n">
        <x:f>SUM('الافتراضات'!$B$51:$M$51)</x:f>
        <x:v>3650</x:v>
      </x:c>
      <x:c r="C6" s="19" t="n">
        <x:f>ROUND(B6*(1+'الافتراضات'!$B$28),0)</x:f>
        <x:v>4563</x:v>
      </x:c>
      <x:c r="D6" s="19" t="n">
        <x:f>ROUND(C6*(1+'الافتراضات'!$B$29),0)</x:f>
        <x:v>5476</x:v>
      </x:c>
      <x:c r="E6" s="4"/>
      <x:c r="F6" s="4"/>
      <x:c r="G6" s="4"/>
      <x:c r="H6" s="4"/>
      <x:c r="I6" s="4"/>
      <x:c r="J6" s="4"/>
      <x:c r="K6" s="4"/>
      <x:c r="L6" s="4"/>
      <x:c r="M6" s="4"/>
    </x:row>
    <x:row r="7" ht="25" customHeight="1">
      <x:c r="A7" s="3" t="str">
        <x:v>إيراد صاف للطلب</x:v>
      </x:c>
      <x:c r="B7" s="32" t="n">
        <x:f>'الافتراضات'!$B$37</x:f>
        <x:v>195.216</x:v>
      </x:c>
      <x:c r="C7" s="32" t="n">
        <x:f>'الافتراضات'!$B$37</x:f>
        <x:v>195.216</x:v>
      </x:c>
      <x:c r="D7" s="32" t="n">
        <x:f>'الافتراضات'!$B$37</x:f>
        <x:v>195.216</x:v>
      </x:c>
      <x:c r="E7" s="4"/>
      <x:c r="F7" s="4"/>
      <x:c r="G7" s="4"/>
      <x:c r="H7" s="4"/>
      <x:c r="I7" s="4"/>
      <x:c r="J7" s="4"/>
      <x:c r="K7" s="4"/>
      <x:c r="L7" s="4"/>
      <x:c r="M7" s="4"/>
    </x:row>
    <x:row r="8" ht="25" customHeight="1">
      <x:c r="A8" s="3" t="str">
        <x:v>تكلفة منتج العبوة</x:v>
      </x:c>
      <x:c r="B8" s="32" t="n">
        <x:f>'الافتراضات'!$B$10</x:f>
        <x:v>62</x:v>
      </x:c>
      <x:c r="C8" s="32" t="n">
        <x:f>B8*(1+'الافتراضات'!$B$30)</x:f>
        <x:v>63.86</x:v>
      </x:c>
      <x:c r="D8" s="32" t="n">
        <x:f>C8*(1+'الافتراضات'!$B$30)</x:f>
        <x:v>65.7758</x:v>
      </x:c>
      <x:c r="E8" s="4"/>
      <x:c r="F8" s="4"/>
      <x:c r="G8" s="4"/>
      <x:c r="H8" s="4"/>
      <x:c r="I8" s="4"/>
      <x:c r="J8" s="4"/>
      <x:c r="K8" s="4"/>
      <x:c r="L8" s="4"/>
      <x:c r="M8" s="4"/>
    </x:row>
    <x:row r="9" ht="25" customHeight="1">
      <x:c r="A9" s="3" t="str">
        <x:v>إجمالي متغير الطلب</x:v>
      </x:c>
      <x:c r="B9" s="32" t="n">
        <x:f>'الافتراضات'!$B$39-'الافتراضات'!$B$10+B8</x:f>
        <x:v>139.227</x:v>
      </x:c>
      <x:c r="C9" s="32" t="n">
        <x:f>'الافتراضات'!$B$39-'الافتراضات'!$B$10+C8</x:f>
        <x:v>141.087</x:v>
      </x:c>
      <x:c r="D9" s="32" t="n">
        <x:f>'الافتراضات'!$B$39-'الافتراضات'!$B$10+D8</x:f>
        <x:v>143.0028</x:v>
      </x:c>
      <x:c r="E9" s="4"/>
      <x:c r="F9" s="4"/>
      <x:c r="G9" s="4"/>
      <x:c r="H9" s="4"/>
      <x:c r="I9" s="4"/>
      <x:c r="J9" s="4"/>
      <x:c r="K9" s="4"/>
      <x:c r="L9" s="4"/>
      <x:c r="M9" s="4"/>
    </x:row>
    <x:row r="10" ht="25" customHeight="1">
      <x:c r="A10" s="3" t="str">
        <x:v>مساهمة الطلب</x:v>
      </x:c>
      <x:c r="B10" s="23" t="n">
        <x:f>B7-B9</x:f>
        <x:v>55.989000000000004</x:v>
      </x:c>
      <x:c r="C10" s="23" t="n">
        <x:f>C7-C9</x:f>
        <x:v>54.12900000000002</x:v>
      </x:c>
      <x:c r="D10" s="23" t="n">
        <x:f>D7-D9</x:f>
        <x:v>52.2132</x:v>
      </x:c>
      <x:c r="E10" s="4"/>
      <x:c r="F10" s="4"/>
      <x:c r="G10" s="4"/>
      <x:c r="H10" s="4"/>
      <x:c r="I10" s="4"/>
      <x:c r="J10" s="4"/>
      <x:c r="K10" s="4"/>
      <x:c r="L10" s="4"/>
      <x:c r="M10" s="4"/>
    </x:row>
    <x:row r="11" ht="25" customHeight="1">
      <x:c r="A11" s="3" t="str">
        <x:v>إيراد السنة</x:v>
      </x:c>
      <x:c r="B11" s="11" t="n">
        <x:f>B6*B7</x:f>
        <x:v>712538.4</x:v>
      </x:c>
      <x:c r="C11" s="11" t="n">
        <x:f>C6*C7</x:f>
        <x:v>890770.608</x:v>
      </x:c>
      <x:c r="D11" s="11" t="n">
        <x:f>D6*D7</x:f>
        <x:v>1069002.816</x:v>
      </x:c>
      <x:c r="E11" s="4"/>
      <x:c r="F11" s="4"/>
      <x:c r="G11" s="4"/>
      <x:c r="H11" s="4"/>
      <x:c r="I11" s="4"/>
      <x:c r="J11" s="4"/>
      <x:c r="K11" s="4"/>
      <x:c r="L11" s="4"/>
      <x:c r="M11" s="4"/>
    </x:row>
    <x:row r="12" ht="25" customHeight="1">
      <x:c r="A12" s="3" t="str">
        <x:v>ثابت السنة</x:v>
      </x:c>
      <x:c r="B12" s="19" t="n">
        <x:f>'الافتراضات'!$B$17*'الافتراضات'!$B$32</x:f>
        <x:v>180000</x:v>
      </x:c>
      <x:c r="C12" s="19" t="n">
        <x:f>B12*(1+'الافتراضات'!$B$31)</x:f>
        <x:v>198000.00000000003</x:v>
      </x:c>
      <x:c r="D12" s="19" t="n">
        <x:f>C12*(1+'الافتراضات'!$B$31)</x:f>
        <x:v>217800.00000000006</x:v>
      </x:c>
      <x:c r="E12" s="4"/>
      <x:c r="F12" s="4"/>
      <x:c r="G12" s="4"/>
      <x:c r="H12" s="4"/>
      <x:c r="I12" s="4"/>
      <x:c r="J12" s="4"/>
      <x:c r="K12" s="4"/>
      <x:c r="L12" s="4"/>
      <x:c r="M12" s="4"/>
    </x:row>
    <x:row r="13" ht="25" customHeight="1">
      <x:c r="A13" s="25" t="str">
        <x:v>فائض التشغيل</x:v>
      </x:c>
      <x:c r="B13" s="29" t="n">
        <x:f>B6*B10-B12</x:f>
        <x:v>24359.850000000006</x:v>
      </x:c>
      <x:c r="C13" s="29" t="n">
        <x:f>C6*C10-C12</x:f>
        <x:v>48990.627000000066</x:v>
      </x:c>
      <x:c r="D13" s="29" t="n">
        <x:f>D6*D10-D12</x:f>
        <x:v>68119.48319999996</x:v>
      </x:c>
      <x:c r="E13" s="4"/>
      <x:c r="F13" s="4"/>
      <x:c r="G13" s="4"/>
      <x:c r="H13" s="4"/>
      <x:c r="I13" s="4"/>
      <x:c r="J13" s="4"/>
      <x:c r="K13" s="4"/>
      <x:c r="L13" s="4"/>
      <x:c r="M13" s="4"/>
    </x:row>
    <x:row r="14" ht="25" customHeight="1">
      <x:c r="A14" s="25" t="str">
        <x:v>تراكمي فائض التشغيل</x:v>
      </x:c>
      <x:c r="B14" s="29" t="n">
        <x:f>SUM($B13:B13)</x:f>
        <x:v>24359.850000000006</x:v>
      </x:c>
      <x:c r="C14" s="29" t="n">
        <x:f>SUM($B13:C13)</x:f>
        <x:v>73350.47700000007</x:v>
      </x:c>
      <x:c r="D14" s="29" t="n">
        <x:f>SUM($B13:D13)</x:f>
        <x:v>141469.96020000003</x:v>
      </x:c>
      <x:c r="E14" s="4"/>
      <x:c r="F14" s="4"/>
      <x:c r="G14" s="4"/>
      <x:c r="H14" s="4"/>
      <x:c r="I14" s="4"/>
      <x:c r="J14" s="4"/>
      <x:c r="K14" s="4"/>
      <x:c r="L14" s="4"/>
      <x:c r="M14" s="4"/>
    </x:row>
    <x:row r="15" ht="25" customHeight="1">
      <x:c r="A15" s="25" t="str">
        <x:v>تمويل بداية غير مغطى بالفائض</x:v>
      </x:c>
      <x:c r="B15" s="26" t="n">
        <x:f>MAX(0,'الافتراضات'!$B$43-B14)</x:f>
        <x:v>175640.15</x:v>
      </x:c>
      <x:c r="C15" s="26" t="n">
        <x:f>MAX(0,'الافتراضات'!$B$43-C14)</x:f>
        <x:v>126649.52299999993</x:v>
      </x:c>
      <x:c r="D15" s="26" t="n">
        <x:f>MAX(0,'الافتراضات'!$B$43-D14)</x:f>
        <x:v>58530.03979999997</x:v>
      </x:c>
      <x:c r="E15" s="4"/>
      <x:c r="F15" s="4"/>
      <x:c r="G15" s="4"/>
      <x:c r="H15" s="4"/>
      <x:c r="I15" s="4"/>
      <x:c r="J15" s="4"/>
      <x:c r="K15" s="4"/>
      <x:c r="L15" s="4"/>
      <x:c r="M15" s="4"/>
    </x:row>
    <x:row r="16" ht="25" customHeight="1">
      <x:c r="A16" s="3"/>
      <x:c r="B16" s="4"/>
      <x:c r="C16" s="4"/>
      <x:c r="D16" s="4"/>
      <x:c r="E16" s="4"/>
      <x:c r="F16" s="4"/>
      <x:c r="G16" s="4"/>
      <x:c r="H16" s="4"/>
      <x:c r="I16" s="4"/>
      <x:c r="J16" s="4"/>
      <x:c r="K16" s="4"/>
      <x:c r="L16" s="4"/>
      <x:c r="M16" s="4"/>
    </x:row>
    <x:row r="17" ht="25" customHeight="1">
      <x:c r="A17" s="3"/>
      <x:c r="B17" s="4"/>
      <x:c r="C17" s="4"/>
      <x:c r="D17" s="4"/>
      <x:c r="E17" s="4"/>
      <x:c r="F17" s="4"/>
      <x:c r="G17" s="4"/>
      <x:c r="H17" s="4"/>
      <x:c r="I17" s="4"/>
      <x:c r="J17" s="4"/>
      <x:c r="K17" s="4"/>
      <x:c r="L17" s="4"/>
      <x:c r="M17" s="4"/>
    </x:row>
    <x:row r="18" ht="25" customHeight="1">
      <x:c r="A18" s="16" t="str">
        <x:v>السنة الثانية: نمو طلبات 25%، والثالثة 20% مع تقريب العبوات لأقرب عدد صحيح. تضخم المنتج 3% سنويًا والثابت 10%. باقي السعر والخصم والتسويق ثابتة. هذه امتداد ربحية، وليست قائمة تدفق نقد أو تقييمًا استثماريًا؛ لا يفترض استرداد التمويل عند السنة الثالثة.</x:v>
      </x:c>
      <x:c r="B18" s="17"/>
      <x:c r="C18" s="17"/>
      <x:c r="D18" s="17"/>
      <x:c r="E18" s="4"/>
      <x:c r="F18" s="4"/>
      <x:c r="G18" s="4"/>
      <x:c r="H18" s="4"/>
      <x:c r="I18" s="4"/>
      <x:c r="J18" s="4"/>
      <x:c r="K18" s="4"/>
      <x:c r="L18" s="4"/>
      <x:c r="M18" s="4"/>
    </x:row>
    <x:row r="19" ht="25" customHeight="1">
      <x:c r="A19" s="16"/>
      <x:c r="B19" s="17"/>
      <x:c r="C19" s="17"/>
      <x:c r="D19" s="17"/>
      <x:c r="E19" s="4"/>
      <x:c r="F19" s="4"/>
      <x:c r="G19" s="4"/>
      <x:c r="H19" s="4"/>
      <x:c r="I19" s="4"/>
      <x:c r="J19" s="4"/>
      <x:c r="K19" s="4"/>
      <x:c r="L19" s="4"/>
      <x:c r="M19" s="4"/>
    </x:row>
    <x:row r="20" ht="25" customHeight="1">
      <x:c r="A20" s="16"/>
      <x:c r="B20" s="17"/>
      <x:c r="C20" s="17"/>
      <x:c r="D20" s="17"/>
      <x:c r="E20" s="4"/>
      <x:c r="F20" s="4"/>
      <x:c r="G20" s="4"/>
      <x:c r="H20" s="4"/>
      <x:c r="I20" s="4"/>
      <x:c r="J20" s="4"/>
      <x:c r="K20" s="4"/>
      <x:c r="L20" s="4"/>
      <x:c r="M20" s="4"/>
    </x:row>
    <x:row r="21" ht="25" customHeight="1">
      <x:c r="A21" s="16"/>
      <x:c r="B21" s="17"/>
      <x:c r="C21" s="17"/>
      <x:c r="D21" s="17"/>
      <x:c r="E21" s="4"/>
      <x:c r="F21" s="4"/>
      <x:c r="G21" s="4"/>
      <x:c r="H21" s="4"/>
      <x:c r="I21" s="4"/>
      <x:c r="J21" s="4"/>
      <x:c r="K21" s="4"/>
      <x:c r="L21" s="4"/>
      <x:c r="M21" s="4"/>
    </x:row>
    <x:row r="22" ht="25" customHeight="1">
      <x:c r="A22" s="16"/>
      <x:c r="B22" s="17"/>
      <x:c r="C22" s="17"/>
      <x:c r="D22" s="17"/>
      <x:c r="E22" s="4"/>
      <x:c r="F22" s="4"/>
      <x:c r="G22" s="4"/>
      <x:c r="H22" s="4"/>
      <x:c r="I22" s="4"/>
      <x:c r="J22" s="4"/>
      <x:c r="K22" s="4"/>
      <x:c r="L22" s="4"/>
      <x:c r="M22" s="4"/>
    </x:row>
    <x:row r="23" ht="25" customHeight="1">
      <x:c r="A23" s="3"/>
      <x:c r="B23" s="4"/>
      <x:c r="C23" s="4"/>
      <x:c r="D23" s="4"/>
      <x:c r="E23" s="4"/>
      <x:c r="F23" s="4"/>
      <x:c r="G23" s="4"/>
      <x:c r="H23" s="4"/>
      <x:c r="I23" s="4"/>
      <x:c r="J23" s="4"/>
      <x:c r="K23" s="4"/>
      <x:c r="L23" s="4"/>
      <x:c r="M23" s="4"/>
    </x:row>
    <x:row r="24" ht="25" customHeight="1">
      <x:c r="A24" s="3"/>
      <x:c r="B24" s="4"/>
      <x:c r="C24" s="4"/>
      <x:c r="D24" s="4"/>
      <x:c r="E24" s="4"/>
      <x:c r="F24" s="4"/>
      <x:c r="G24" s="4"/>
      <x:c r="H24" s="4"/>
      <x:c r="I24" s="4"/>
      <x:c r="J24" s="4"/>
      <x:c r="K24" s="4"/>
      <x:c r="L24" s="4"/>
      <x:c r="M24" s="4"/>
    </x:row>
    <x:row r="25" ht="25" customHeight="1">
      <x:c r="A25" s="3"/>
      <x:c r="B25" s="4"/>
      <x:c r="C25" s="4"/>
      <x:c r="D25" s="4"/>
      <x:c r="E25" s="4"/>
      <x:c r="F25" s="4"/>
      <x:c r="G25" s="4"/>
      <x:c r="H25" s="4"/>
      <x:c r="I25" s="4"/>
      <x:c r="J25" s="4"/>
      <x:c r="K25" s="4"/>
      <x:c r="L25" s="4"/>
      <x:c r="M25" s="4"/>
    </x:row>
    <x:row r="26" ht="25" customHeight="1">
      <x:c r="A26" s="3"/>
      <x:c r="B26" s="4"/>
      <x:c r="C26" s="4"/>
      <x:c r="D26" s="4"/>
      <x:c r="E26" s="4"/>
      <x:c r="F26" s="4"/>
      <x:c r="G26" s="4"/>
      <x:c r="H26" s="4"/>
      <x:c r="I26" s="4"/>
      <x:c r="J26" s="4"/>
      <x:c r="K26" s="4"/>
      <x:c r="L26" s="4"/>
      <x:c r="M26" s="4"/>
    </x:row>
    <x:row r="27" ht="25" customHeight="1">
      <x:c r="A27" s="3"/>
      <x:c r="B27" s="4"/>
      <x:c r="C27" s="4"/>
      <x:c r="D27" s="4"/>
      <x:c r="E27" s="4"/>
      <x:c r="F27" s="4"/>
      <x:c r="G27" s="4"/>
      <x:c r="H27" s="4"/>
      <x:c r="I27" s="4"/>
      <x:c r="J27" s="4"/>
      <x:c r="K27" s="4"/>
      <x:c r="L27" s="4"/>
      <x:c r="M27" s="4"/>
    </x:row>
    <x:row r="28" ht="25" customHeight="1">
      <x:c r="A28" s="3"/>
      <x:c r="B28" s="4"/>
      <x:c r="C28" s="4"/>
      <x:c r="D28" s="4"/>
      <x:c r="E28" s="4"/>
      <x:c r="F28" s="4"/>
      <x:c r="G28" s="4"/>
      <x:c r="H28" s="4"/>
      <x:c r="I28" s="4"/>
      <x:c r="J28" s="4"/>
      <x:c r="K28" s="4"/>
      <x:c r="L28" s="4"/>
      <x:c r="M28" s="4"/>
    </x:row>
    <x:row r="29" ht="25" customHeight="1">
      <x:c r="A29" s="3"/>
      <x:c r="B29" s="4"/>
      <x:c r="C29" s="4"/>
      <x:c r="D29" s="4"/>
      <x:c r="E29" s="4"/>
      <x:c r="F29" s="4"/>
      <x:c r="G29" s="4"/>
      <x:c r="H29" s="4"/>
      <x:c r="I29" s="4"/>
      <x:c r="J29" s="4"/>
      <x:c r="K29" s="4"/>
      <x:c r="L29" s="4"/>
      <x:c r="M29" s="4"/>
    </x:row>
    <x:row r="30" ht="25" customHeight="1">
      <x:c r="A30" s="3"/>
      <x:c r="B30" s="4"/>
      <x:c r="C30" s="4"/>
      <x:c r="D30" s="4"/>
      <x:c r="E30" s="4"/>
      <x:c r="F30" s="4"/>
      <x:c r="G30" s="4"/>
      <x:c r="H30" s="4"/>
      <x:c r="I30" s="4"/>
      <x:c r="J30" s="4"/>
      <x:c r="K30" s="4"/>
      <x:c r="L30" s="4"/>
      <x:c r="M30" s="4"/>
    </x:row>
    <x:row r="31" ht="25" customHeight="1">
      <x:c r="A31" s="3"/>
      <x:c r="B31" s="4"/>
      <x:c r="C31" s="4"/>
      <x:c r="D31" s="4"/>
      <x:c r="E31" s="4"/>
      <x:c r="F31" s="4"/>
      <x:c r="G31" s="4"/>
      <x:c r="H31" s="4"/>
      <x:c r="I31" s="4"/>
      <x:c r="J31" s="4"/>
      <x:c r="K31" s="4"/>
      <x:c r="L31" s="4"/>
      <x:c r="M31" s="4"/>
    </x:row>
    <x:row r="32" ht="25" customHeight="1">
      <x:c r="A32" s="3"/>
      <x:c r="B32" s="4"/>
      <x:c r="C32" s="4"/>
      <x:c r="D32" s="4"/>
      <x:c r="E32" s="4"/>
      <x:c r="F32" s="4"/>
      <x:c r="G32" s="4"/>
      <x:c r="H32" s="4"/>
      <x:c r="I32" s="4"/>
      <x:c r="J32" s="4"/>
      <x:c r="K32" s="4"/>
      <x:c r="L32" s="4"/>
      <x:c r="M32" s="4"/>
    </x:row>
    <x:row r="33" ht="25" customHeight="1">
      <x:c r="A33" s="3"/>
      <x:c r="B33" s="4"/>
      <x:c r="C33" s="4"/>
      <x:c r="D33" s="4"/>
      <x:c r="E33" s="4"/>
      <x:c r="F33" s="4"/>
      <x:c r="G33" s="4"/>
      <x:c r="H33" s="4"/>
      <x:c r="I33" s="4"/>
      <x:c r="J33" s="4"/>
      <x:c r="K33" s="4"/>
      <x:c r="L33" s="4"/>
      <x:c r="M33" s="4"/>
    </x:row>
    <x:row r="34" ht="25" customHeight="1">
      <x:c r="A34" s="3"/>
      <x:c r="B34" s="4"/>
      <x:c r="C34" s="4"/>
      <x:c r="D34" s="4"/>
      <x:c r="E34" s="4"/>
      <x:c r="F34" s="4"/>
      <x:c r="G34" s="4"/>
      <x:c r="H34" s="4"/>
      <x:c r="I34" s="4"/>
      <x:c r="J34" s="4"/>
      <x:c r="K34" s="4"/>
      <x:c r="L34" s="4"/>
      <x:c r="M34" s="4"/>
    </x:row>
    <x:row r="35" ht="25" customHeight="1">
      <x:c r="A35" s="3"/>
      <x:c r="B35" s="4"/>
      <x:c r="C35" s="4"/>
      <x:c r="D35" s="4"/>
      <x:c r="E35" s="4"/>
      <x:c r="F35" s="4"/>
      <x:c r="G35" s="4"/>
      <x:c r="H35" s="4"/>
      <x:c r="I35" s="4"/>
      <x:c r="J35" s="4"/>
      <x:c r="K35" s="4"/>
      <x:c r="L35" s="4"/>
      <x:c r="M35" s="4"/>
    </x:row>
    <x:row r="36" ht="25" customHeight="1">
      <x:c r="A36" s="3"/>
      <x:c r="B36" s="4"/>
      <x:c r="C36" s="4"/>
      <x:c r="D36" s="4"/>
      <x:c r="E36" s="4"/>
      <x:c r="F36" s="4"/>
      <x:c r="G36" s="4"/>
      <x:c r="H36" s="4"/>
      <x:c r="I36" s="4"/>
      <x:c r="J36" s="4"/>
      <x:c r="K36" s="4"/>
      <x:c r="L36" s="4"/>
      <x:c r="M36" s="4"/>
    </x:row>
    <x:row r="37" ht="25" customHeight="1">
      <x:c r="A37" s="3"/>
      <x:c r="B37" s="4"/>
      <x:c r="C37" s="4"/>
      <x:c r="D37" s="4"/>
      <x:c r="E37" s="4"/>
      <x:c r="F37" s="4"/>
      <x:c r="G37" s="4"/>
      <x:c r="H37" s="4"/>
      <x:c r="I37" s="4"/>
      <x:c r="J37" s="4"/>
      <x:c r="K37" s="4"/>
      <x:c r="L37" s="4"/>
      <x:c r="M37" s="4"/>
    </x:row>
    <x:row r="38" ht="25" customHeight="1">
      <x:c r="A38" s="3"/>
      <x:c r="B38" s="4"/>
      <x:c r="C38" s="4"/>
      <x:c r="D38" s="4"/>
      <x:c r="E38" s="4"/>
      <x:c r="F38" s="4"/>
      <x:c r="G38" s="4"/>
      <x:c r="H38" s="4"/>
      <x:c r="I38" s="4"/>
      <x:c r="J38" s="4"/>
      <x:c r="K38" s="4"/>
      <x:c r="L38" s="4"/>
      <x:c r="M38" s="4"/>
    </x:row>
    <x:row r="39" ht="25" customHeight="1">
      <x:c r="A39" s="3"/>
      <x:c r="B39" s="4"/>
      <x:c r="C39" s="4"/>
      <x:c r="D39" s="4"/>
      <x:c r="E39" s="4"/>
      <x:c r="F39" s="4"/>
      <x:c r="G39" s="4"/>
      <x:c r="H39" s="4"/>
      <x:c r="I39" s="4"/>
      <x:c r="J39" s="4"/>
      <x:c r="K39" s="4"/>
      <x:c r="L39" s="4"/>
      <x:c r="M39" s="4"/>
    </x:row>
    <x:row r="40" ht="25" customHeight="1">
      <x:c r="A40" s="3"/>
      <x:c r="B40" s="4"/>
      <x:c r="C40" s="4"/>
      <x:c r="D40" s="4"/>
      <x:c r="E40" s="4"/>
      <x:c r="F40" s="4"/>
      <x:c r="G40" s="4"/>
      <x:c r="H40" s="4"/>
      <x:c r="I40" s="4"/>
      <x:c r="J40" s="4"/>
      <x:c r="K40" s="4"/>
      <x:c r="L40" s="4"/>
      <x:c r="M40" s="4"/>
    </x:row>
    <x:row r="41" ht="25" customHeight="1">
      <x:c r="A41" s="3"/>
      <x:c r="B41" s="4"/>
      <x:c r="C41" s="4"/>
      <x:c r="D41" s="4"/>
      <x:c r="E41" s="4"/>
      <x:c r="F41" s="4"/>
      <x:c r="G41" s="4"/>
      <x:c r="H41" s="4"/>
      <x:c r="I41" s="4"/>
      <x:c r="J41" s="4"/>
      <x:c r="K41" s="4"/>
      <x:c r="L41" s="4"/>
      <x:c r="M41" s="4"/>
    </x:row>
    <x:row r="42" ht="25" customHeight="1">
      <x:c r="A42" s="3"/>
      <x:c r="B42" s="4"/>
      <x:c r="C42" s="4"/>
      <x:c r="D42" s="4"/>
      <x:c r="E42" s="4"/>
      <x:c r="F42" s="4"/>
      <x:c r="G42" s="4"/>
      <x:c r="H42" s="4"/>
      <x:c r="I42" s="4"/>
      <x:c r="J42" s="4"/>
      <x:c r="K42" s="4"/>
      <x:c r="L42" s="4"/>
      <x:c r="M42" s="4"/>
    </x:row>
    <x:row r="43" ht="25" customHeight="1">
      <x:c r="A43" s="3"/>
      <x:c r="B43" s="4"/>
      <x:c r="C43" s="4"/>
      <x:c r="D43" s="4"/>
      <x:c r="E43" s="4"/>
      <x:c r="F43" s="4"/>
      <x:c r="G43" s="4"/>
      <x:c r="H43" s="4"/>
      <x:c r="I43" s="4"/>
      <x:c r="J43" s="4"/>
      <x:c r="K43" s="4"/>
      <x:c r="L43" s="4"/>
      <x:c r="M43" s="4"/>
    </x:row>
    <x:row r="44" ht="25" customHeight="1">
      <x:c r="A44" s="3"/>
      <x:c r="B44" s="4"/>
      <x:c r="C44" s="4"/>
      <x:c r="D44" s="4"/>
      <x:c r="E44" s="4"/>
      <x:c r="F44" s="4"/>
      <x:c r="G44" s="4"/>
      <x:c r="H44" s="4"/>
      <x:c r="I44" s="4"/>
      <x:c r="J44" s="4"/>
      <x:c r="K44" s="4"/>
      <x:c r="L44" s="4"/>
      <x:c r="M44" s="4"/>
    </x:row>
    <x:row r="45" ht="25" customHeight="1">
      <x:c r="A45" s="3"/>
      <x:c r="B45" s="4"/>
      <x:c r="C45" s="4"/>
      <x:c r="D45" s="4"/>
      <x:c r="E45" s="4"/>
      <x:c r="F45" s="4"/>
      <x:c r="G45" s="4"/>
      <x:c r="H45" s="4"/>
      <x:c r="I45" s="4"/>
      <x:c r="J45" s="4"/>
      <x:c r="K45" s="4"/>
      <x:c r="L45" s="4"/>
      <x:c r="M45" s="4"/>
    </x:row>
    <x:row r="46" ht="25" customHeight="1">
      <x:c r="A46" s="3"/>
      <x:c r="B46" s="4"/>
      <x:c r="C46" s="4"/>
      <x:c r="D46" s="4"/>
      <x:c r="E46" s="4"/>
      <x:c r="F46" s="4"/>
      <x:c r="G46" s="4"/>
      <x:c r="H46" s="4"/>
      <x:c r="I46" s="4"/>
      <x:c r="J46" s="4"/>
      <x:c r="K46" s="4"/>
      <x:c r="L46" s="4"/>
      <x:c r="M46" s="4"/>
    </x:row>
    <x:row r="47" ht="25" customHeight="1">
      <x:c r="A47" s="3"/>
      <x:c r="B47" s="4"/>
      <x:c r="C47" s="4"/>
      <x:c r="D47" s="4"/>
      <x:c r="E47" s="4"/>
      <x:c r="F47" s="4"/>
      <x:c r="G47" s="4"/>
      <x:c r="H47" s="4"/>
      <x:c r="I47" s="4"/>
      <x:c r="J47" s="4"/>
      <x:c r="K47" s="4"/>
      <x:c r="L47" s="4"/>
      <x:c r="M47" s="4"/>
    </x:row>
    <x:row r="48" ht="25" customHeight="1">
      <x:c r="A48" s="3"/>
      <x:c r="B48" s="4"/>
      <x:c r="C48" s="4"/>
      <x:c r="D48" s="4"/>
      <x:c r="E48" s="4"/>
      <x:c r="F48" s="4"/>
      <x:c r="G48" s="4"/>
      <x:c r="H48" s="4"/>
      <x:c r="I48" s="4"/>
      <x:c r="J48" s="4"/>
      <x:c r="K48" s="4"/>
      <x:c r="L48" s="4"/>
      <x:c r="M48" s="4"/>
    </x:row>
    <x:row r="49" ht="25" customHeight="1">
      <x:c r="A49" s="3"/>
      <x:c r="B49" s="4"/>
      <x:c r="C49" s="4"/>
      <x:c r="D49" s="4"/>
      <x:c r="E49" s="4"/>
      <x:c r="F49" s="4"/>
      <x:c r="G49" s="4"/>
      <x:c r="H49" s="4"/>
      <x:c r="I49" s="4"/>
      <x:c r="J49" s="4"/>
      <x:c r="K49" s="4"/>
      <x:c r="L49" s="4"/>
      <x:c r="M49" s="4"/>
    </x:row>
    <x:row r="50" ht="25" customHeight="1">
      <x:c r="A50" s="3"/>
      <x:c r="B50" s="4"/>
      <x:c r="C50" s="4"/>
      <x:c r="D50" s="4"/>
      <x:c r="E50" s="4"/>
      <x:c r="F50" s="4"/>
      <x:c r="G50" s="4"/>
      <x:c r="H50" s="4"/>
      <x:c r="I50" s="4"/>
      <x:c r="J50" s="4"/>
      <x:c r="K50" s="4"/>
      <x:c r="L50" s="4"/>
      <x:c r="M50" s="4"/>
    </x:row>
    <x:row r="51" ht="25" customHeight="1">
      <x:c r="A51" s="3"/>
      <x:c r="B51" s="4"/>
      <x:c r="C51" s="4"/>
      <x:c r="D51" s="4"/>
      <x:c r="E51" s="4"/>
      <x:c r="F51" s="4"/>
      <x:c r="G51" s="4"/>
      <x:c r="H51" s="4"/>
      <x:c r="I51" s="4"/>
      <x:c r="J51" s="4"/>
      <x:c r="K51" s="4"/>
      <x:c r="L51" s="4"/>
      <x:c r="M51" s="4"/>
    </x:row>
    <x:row r="52" ht="25" customHeight="1">
      <x:c r="A52" s="3"/>
      <x:c r="B52" s="4"/>
      <x:c r="C52" s="4"/>
      <x:c r="D52" s="4"/>
      <x:c r="E52" s="4"/>
      <x:c r="F52" s="4"/>
      <x:c r="G52" s="4"/>
      <x:c r="H52" s="4"/>
      <x:c r="I52" s="4"/>
      <x:c r="J52" s="4"/>
      <x:c r="K52" s="4"/>
      <x:c r="L52" s="4"/>
      <x:c r="M52" s="4"/>
    </x:row>
    <x:row r="53" ht="25" customHeight="1">
      <x:c r="A53" s="3"/>
      <x:c r="B53" s="4"/>
      <x:c r="C53" s="4"/>
      <x:c r="D53" s="4"/>
      <x:c r="E53" s="4"/>
      <x:c r="F53" s="4"/>
      <x:c r="G53" s="4"/>
      <x:c r="H53" s="4"/>
      <x:c r="I53" s="4"/>
      <x:c r="J53" s="4"/>
      <x:c r="K53" s="4"/>
      <x:c r="L53" s="4"/>
      <x:c r="M53" s="4"/>
    </x:row>
    <x:row r="54" ht="25" customHeight="1">
      <x:c r="A54" s="3"/>
      <x:c r="B54" s="4"/>
      <x:c r="C54" s="4"/>
      <x:c r="D54" s="4"/>
      <x:c r="E54" s="4"/>
      <x:c r="F54" s="4"/>
      <x:c r="G54" s="4"/>
      <x:c r="H54" s="4"/>
      <x:c r="I54" s="4"/>
      <x:c r="J54" s="4"/>
      <x:c r="K54" s="4"/>
      <x:c r="L54" s="4"/>
      <x:c r="M54" s="4"/>
    </x:row>
    <x:row r="55" ht="25" customHeight="1">
      <x:c r="A55" s="3"/>
      <x:c r="B55" s="4"/>
      <x:c r="C55" s="4"/>
      <x:c r="D55" s="4"/>
      <x:c r="E55" s="4"/>
      <x:c r="F55" s="4"/>
      <x:c r="G55" s="4"/>
      <x:c r="H55" s="4"/>
      <x:c r="I55" s="4"/>
      <x:c r="J55" s="4"/>
      <x:c r="K55" s="4"/>
      <x:c r="L55" s="4"/>
      <x:c r="M55" s="4"/>
    </x:row>
    <x:row r="56" ht="25" customHeight="1">
      <x:c r="A56" s="3"/>
      <x:c r="B56" s="4"/>
      <x:c r="C56" s="4"/>
      <x:c r="D56" s="4"/>
      <x:c r="E56" s="4"/>
      <x:c r="F56" s="4"/>
      <x:c r="G56" s="4"/>
      <x:c r="H56" s="4"/>
      <x:c r="I56" s="4"/>
      <x:c r="J56" s="4"/>
      <x:c r="K56" s="4"/>
      <x:c r="L56" s="4"/>
      <x:c r="M56" s="4"/>
    </x:row>
    <x:row r="57" ht="25" customHeight="1">
      <x:c r="A57" s="3"/>
      <x:c r="B57" s="4"/>
      <x:c r="C57" s="4"/>
      <x:c r="D57" s="4"/>
      <x:c r="E57" s="4"/>
      <x:c r="F57" s="4"/>
      <x:c r="G57" s="4"/>
      <x:c r="H57" s="4"/>
      <x:c r="I57" s="4"/>
      <x:c r="J57" s="4"/>
      <x:c r="K57" s="4"/>
      <x:c r="L57" s="4"/>
      <x:c r="M57" s="4"/>
    </x:row>
    <x:row r="58" ht="25" customHeight="1">
      <x:c r="A58" s="3"/>
      <x:c r="B58" s="4"/>
      <x:c r="C58" s="4"/>
      <x:c r="D58" s="4"/>
      <x:c r="E58" s="4"/>
      <x:c r="F58" s="4"/>
      <x:c r="G58" s="4"/>
      <x:c r="H58" s="4"/>
      <x:c r="I58" s="4"/>
      <x:c r="J58" s="4"/>
      <x:c r="K58" s="4"/>
      <x:c r="L58" s="4"/>
      <x:c r="M58" s="4"/>
    </x:row>
    <x:row r="59" ht="25" customHeight="1">
      <x:c r="A59" s="3"/>
      <x:c r="B59" s="4"/>
      <x:c r="C59" s="4"/>
      <x:c r="D59" s="4"/>
      <x:c r="E59" s="4"/>
      <x:c r="F59" s="4"/>
      <x:c r="G59" s="4"/>
      <x:c r="H59" s="4"/>
      <x:c r="I59" s="4"/>
      <x:c r="J59" s="4"/>
      <x:c r="K59" s="4"/>
      <x:c r="L59" s="4"/>
      <x:c r="M59" s="4"/>
    </x:row>
    <x:row r="60" ht="25" customHeight="1">
      <x:c r="A60" s="3"/>
      <x:c r="B60" s="4"/>
      <x:c r="C60" s="4"/>
      <x:c r="D60" s="4"/>
      <x:c r="E60" s="4"/>
      <x:c r="F60" s="4"/>
      <x:c r="G60" s="4"/>
      <x:c r="H60" s="4"/>
      <x:c r="I60" s="4"/>
      <x:c r="J60" s="4"/>
      <x:c r="K60" s="4"/>
      <x:c r="L60" s="4"/>
      <x:c r="M60" s="4"/>
    </x:row>
  </x:sheetData>
  <x:mergeCells>
    <x:mergeCell ref="A1:D1"/>
    <x:mergeCell ref="A2:D3"/>
    <x:mergeCell ref="A18:D2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3.33000183105469" hidden="0" customWidth="1"/>
    <x:col min="2" max="2" width="19.440000534057617" hidden="0" customWidth="1"/>
    <x:col min="3" max="3" width="63.33000183105469" hidden="0" customWidth="1"/>
    <x:col min="4" max="4" width="36.66999816894531" hidden="0" customWidth="1"/>
  </x:cols>
  <x:sheetData>
    <x:row r="1" ht="30" customHeight="1">
      <x:c r="A1" s="6" t="str">
        <x:v>AEVU | إيڤو — المصادر والفحص</x:v>
      </x:c>
      <x:c r="B1" s="6"/>
      <x:c r="C1" s="6"/>
      <x:c r="D1" s="6"/>
      <x:c r="E1" s="3"/>
      <x:c r="F1" s="3"/>
      <x:c r="G1" s="3"/>
      <x:c r="H1" s="3"/>
      <x:c r="I1" s="3"/>
      <x:c r="J1" s="3"/>
      <x:c r="K1" s="3"/>
      <x:c r="L1" s="3"/>
      <x:c r="M1" s="3"/>
    </x:row>
    <x:row r="2" ht="25" customHeight="1">
      <x:c r="A2" s="8" t="str">
        <x:v>دراسة تصورية • 7 سبتمبر 2026 • ريال سعودي • المدخلات باللون الأزرق، المعادلات بالأسود، وروابط الأوراق بالأخضر.</x:v>
      </x:c>
      <x:c r="B2" s="8"/>
      <x:c r="C2" s="8"/>
      <x:c r="D2" s="8"/>
      <x:c r="E2" s="3"/>
      <x:c r="F2" s="3"/>
      <x:c r="G2" s="3"/>
      <x:c r="H2" s="3"/>
      <x:c r="I2" s="3"/>
      <x:c r="J2" s="3"/>
      <x:c r="K2" s="3"/>
      <x:c r="L2" s="3"/>
      <x:c r="M2" s="3"/>
    </x:row>
    <x:row r="3" ht="25" customHeight="1">
      <x:c r="A3" s="8"/>
      <x:c r="B3" s="8"/>
      <x:c r="C3" s="8"/>
      <x:c r="D3" s="8"/>
      <x:c r="E3" s="3"/>
      <x:c r="F3" s="3"/>
      <x:c r="G3" s="3"/>
      <x:c r="H3" s="3"/>
      <x:c r="I3" s="3"/>
      <x:c r="J3" s="3"/>
      <x:c r="K3" s="3"/>
      <x:c r="L3" s="3"/>
      <x:c r="M3" s="3"/>
    </x:row>
    <x:row r="4" ht="25" customHeight="1">
      <x:c r="A4" s="3"/>
      <x:c r="B4" s="3"/>
      <x:c r="C4" s="3"/>
      <x:c r="D4" s="3"/>
      <x:c r="E4" s="3"/>
      <x:c r="F4" s="3"/>
      <x:c r="G4" s="3"/>
      <x:c r="H4" s="3"/>
      <x:c r="I4" s="3"/>
      <x:c r="J4" s="3"/>
      <x:c r="K4" s="3"/>
      <x:c r="L4" s="3"/>
      <x:c r="M4" s="3"/>
    </x:row>
    <x:row r="5" ht="25" customHeight="1">
      <x:c r="A5" s="3" t="str">
        <x:v>المرجع</x:v>
      </x:c>
      <x:c r="B5" s="3" t="str">
        <x:v>التاريخ</x:v>
      </x:c>
      <x:c r="C5" s="3" t="str">
        <x:v>الرابط الأصلي</x:v>
      </x:c>
      <x:c r="D5" s="3" t="str">
        <x:v>استخدامه</x:v>
      </x:c>
      <x:c r="E5" s="3"/>
      <x:c r="F5" s="3"/>
      <x:c r="G5" s="3"/>
      <x:c r="H5" s="3"/>
      <x:c r="I5" s="3"/>
      <x:c r="J5" s="3"/>
      <x:c r="K5" s="3"/>
      <x:c r="L5" s="3"/>
      <x:c r="M5" s="3"/>
    </x:row>
    <x:row r="6" ht="65" customHeight="1">
      <x:c r="A6" s="16" t="str">
        <x:v>لافيرن — ذا ريل باتشولي</x:v>
      </x:c>
      <x:c r="B6" s="17" t="str">
        <x:v>2026-09-07</x:v>
      </x:c>
      <x:c r="C6" s="17" t="str">
        <x:v>https://laverne.com/ar/oZdXBGY</x:v>
      </x:c>
      <x:c r="D6" s="17" t="str">
        <x:v>مرجع وصف عطر محايد وحجم 100 مل؛ لم نعتمد السعر الظاهر بالدولار كسعر سعودي.</x:v>
      </x:c>
      <x:c r="E6" s="4"/>
      <x:c r="F6" s="4"/>
      <x:c r="G6" s="4"/>
      <x:c r="H6" s="4"/>
      <x:c r="I6" s="4"/>
      <x:c r="J6" s="4"/>
      <x:c r="K6" s="4"/>
      <x:c r="L6" s="4"/>
      <x:c r="M6" s="4"/>
    </x:row>
    <x:row r="7" ht="65" customHeight="1">
      <x:c r="A7" s="16" t="str">
        <x:v>درعه السعودية — عطور للجنسين</x:v>
      </x:c>
      <x:c r="B7" s="17" t="str">
        <x:v>2026-09-07</x:v>
      </x:c>
      <x:c r="C7" s="17" t="str">
        <x:v>https://www.deraahstore.com/ar_sa/perfumes/unisex-perfumes</x:v>
      </x:c>
      <x:c r="D7" s="17" t="str">
        <x:v>لقطة الأسعار والأحجام والحزم المنشورة؛ لا بيانات مبيعات موثقة.</x:v>
      </x:c>
      <x:c r="E7" s="4"/>
      <x:c r="F7" s="4"/>
      <x:c r="G7" s="4"/>
      <x:c r="H7" s="4"/>
      <x:c r="I7" s="4"/>
      <x:c r="J7" s="4"/>
      <x:c r="K7" s="4"/>
      <x:c r="L7" s="4"/>
      <x:c r="M7" s="4"/>
    </x:row>
    <x:row r="8" ht="65" customHeight="1">
      <x:c r="A8" s="16" t="str">
        <x:v>SFDA — إدراج منتجات التجميل</x:v>
      </x:c>
      <x:c r="B8" s="17" t="str">
        <x:v>2026-09-07</x:v>
      </x:c>
      <x:c r="C8" s="17" t="str">
        <x:v>https://www.sfda.gov.sa/ar/eservices/307</x:v>
      </x:c>
      <x:c r="D8" s="17" t="str">
        <x:v>غد وبيانات المصنع والملصق والمكونات؛ صفحة الخدمة تعرض الإدراج بلا رسوم.</x:v>
      </x:c>
      <x:c r="E8" s="4"/>
      <x:c r="F8" s="4"/>
      <x:c r="G8" s="4"/>
      <x:c r="H8" s="4"/>
      <x:c r="I8" s="4"/>
      <x:c r="J8" s="4"/>
      <x:c r="K8" s="4"/>
      <x:c r="L8" s="4"/>
      <x:c r="M8" s="4"/>
    </x:row>
    <x:row r="9" ht="65" customHeight="1">
      <x:c r="A9" s="16" t="str">
        <x:v>SAIP — تسجيل علامة تجارية</x:v>
      </x:c>
      <x:c r="B9" s="17" t="str">
        <x:v>2026-09-07</x:v>
      </x:c>
      <x:c r="C9" s="17" t="str">
        <x:v>https://www.saip.gov.sa/ar/services/trademarks/trademark-registration</x:v>
      </x:c>
      <x:c r="D9" s="17" t="str">
        <x:v>الرسوم المنشورة 1,000 + 500 + 5,000 ريال؛ لا إثبات لتوافر AEVU.</x:v>
      </x:c>
      <x:c r="E9" s="4"/>
      <x:c r="F9" s="4"/>
      <x:c r="G9" s="4"/>
      <x:c r="H9" s="4"/>
      <x:c r="I9" s="4"/>
      <x:c r="J9" s="4"/>
      <x:c r="K9" s="4"/>
      <x:c r="L9" s="4"/>
      <x:c r="M9" s="4"/>
    </x:row>
    <x:row r="10" ht="65" customHeight="1">
      <x:c r="A10" s="16" t="str">
        <x:v>ZATCA — أسئلة القيمة المضافة</x:v>
      </x:c>
      <x:c r="B10" s="17" t="str">
        <x:v>2026-09-07</x:v>
      </x:c>
      <x:c r="C10" s="17" t="str">
        <x:v>https://zatca.gov.sa/en/HelpCenter/FAQs/Pages/FAQArchiveEservices.aspx?cat=10</x:v>
      </x:c>
      <x:c r="D10" s="17" t="str">
        <x:v>نسبة VAT الأساسية 15%؛ يراجع وضع التسجيل والفوترة مع المختص.</x:v>
      </x:c>
      <x:c r="E10" s="4"/>
      <x:c r="F10" s="4"/>
      <x:c r="G10" s="4"/>
      <x:c r="H10" s="4"/>
      <x:c r="I10" s="4"/>
      <x:c r="J10" s="4"/>
      <x:c r="K10" s="4"/>
      <x:c r="L10" s="4"/>
      <x:c r="M10" s="4"/>
    </x:row>
    <x:row r="11" ht="65" customHeight="1">
      <x:c r="A11" s="16" t="str">
        <x:v>وزارة التجارة — توثيق التجارة الإلكترونية</x:v>
      </x:c>
      <x:c r="B11" s="17" t="str">
        <x:v>2026-09-07</x:v>
      </x:c>
      <x:c r="C11" s="17" t="str">
        <x:v>https://mc.gov.sa/ar/mediacenter/News/Pages/29-03-23-02.aspx</x:v>
      </x:c>
      <x:c r="D11" s="17" t="str">
        <x:v>توثيق المتجر عبر منصة الأعمال والربط ببيانات المنشأة.</x:v>
      </x:c>
      <x:c r="E11" s="4"/>
      <x:c r="F11" s="4"/>
      <x:c r="G11" s="4"/>
      <x:c r="H11" s="4"/>
      <x:c r="I11" s="4"/>
      <x:c r="J11" s="4"/>
      <x:c r="K11" s="4"/>
      <x:c r="L11" s="4"/>
      <x:c r="M11" s="4"/>
    </x:row>
    <x:row r="12" ht="65" customHeight="1">
      <x:c r="A12" s="16" t="str">
        <x:v>سدايا — دليل سياسة الخصوصية</x:v>
      </x:c>
      <x:c r="B12" s="17" t="str">
        <x:v>2026-09-07</x:v>
      </x:c>
      <x:c r="C12" s="17" t="str">
        <x:v>https://dgp.sdaia.gov.sa/wps/portal/pdp/knowledgecenter/details/ElaborationandDevelopingPrivacyPolicyGuideline</x:v>
      </x:c>
      <x:c r="D12" s="17" t="str">
        <x:v>مرجع إعداد إفصاح مناسب عند جمع البيانات.</x:v>
      </x:c>
      <x:c r="E12" s="4"/>
      <x:c r="F12" s="4"/>
      <x:c r="G12" s="4"/>
      <x:c r="H12" s="4"/>
      <x:c r="I12" s="4"/>
      <x:c r="J12" s="4"/>
      <x:c r="K12" s="4"/>
      <x:c r="L12" s="4"/>
      <x:c r="M12" s="4"/>
    </x:row>
    <x:row r="13" ht="65" customHeight="1">
      <x:c r="A13" s="16" t="str">
        <x:v>Google Fonts — IBM Plex Sans Arabic</x:v>
      </x:c>
      <x:c r="B13" s="17" t="str">
        <x:v>2026-09-07</x:v>
      </x:c>
      <x:c r="C13" s="17" t="str">
        <x:v>https://fonts.google.com/specimen/IBM+Plex+Sans+Arabic</x:v>
      </x:c>
      <x:c r="D13" s="17" t="str">
        <x:v>الخط العربي المساند للدليل والتطبيقات.</x:v>
      </x:c>
      <x:c r="E13" s="4"/>
      <x:c r="F13" s="4"/>
      <x:c r="G13" s="4"/>
      <x:c r="H13" s="4"/>
      <x:c r="I13" s="4"/>
      <x:c r="J13" s="4"/>
      <x:c r="K13" s="4"/>
      <x:c r="L13" s="4"/>
      <x:c r="M13" s="4"/>
    </x:row>
    <x:row r="14" ht="65" customHeight="1">
      <x:c r="A14" s="16" t="str">
        <x:v>Google Fonts — Manrope</x:v>
      </x:c>
      <x:c r="B14" s="17" t="str">
        <x:v>2026-09-07</x:v>
      </x:c>
      <x:c r="C14" s="17" t="str">
        <x:v>https://fonts.google.com/specimen/Manrope</x:v>
      </x:c>
      <x:c r="D14" s="17" t="str">
        <x:v>الخط الإنجليزي المساند.</x:v>
      </x:c>
      <x:c r="E14" s="4"/>
      <x:c r="F14" s="4"/>
      <x:c r="G14" s="4"/>
      <x:c r="H14" s="4"/>
      <x:c r="I14" s="4"/>
      <x:c r="J14" s="4"/>
      <x:c r="K14" s="4"/>
      <x:c r="L14" s="4"/>
      <x:c r="M14" s="4"/>
    </x:row>
    <x:row r="15" ht="65" customHeight="1">
      <x:c r="A15" s="16" t="str">
        <x:v>SBA — حساب تكاليف البداية</x:v>
      </x:c>
      <x:c r="B15" s="17" t="str">
        <x:v>2026-09-07</x:v>
      </x:c>
      <x:c r="C15" s="17" t="str">
        <x:v>https://www.sba.gov/business-guide/plan-your-business/calculate-your-startup-costs</x:v>
      </x:c>
      <x:c r="D15" s="17" t="str">
        <x:v>منهج فصل التأسيس عن مصروف التشغيل؛ لا يثبت تكلفة في السعودية.</x:v>
      </x:c>
      <x:c r="E15" s="4"/>
      <x:c r="F15" s="4"/>
      <x:c r="G15" s="4"/>
      <x:c r="H15" s="4"/>
      <x:c r="I15" s="4"/>
      <x:c r="J15" s="4"/>
      <x:c r="K15" s="4"/>
      <x:c r="L15" s="4"/>
      <x:c r="M15" s="4"/>
    </x:row>
    <x:row r="16" ht="25" customHeight="1">
      <x:c r="A16" s="3"/>
      <x:c r="B16" s="4"/>
      <x:c r="C16" s="4"/>
      <x:c r="D16" s="4"/>
      <x:c r="E16" s="4"/>
      <x:c r="F16" s="4"/>
      <x:c r="G16" s="4"/>
      <x:c r="H16" s="4"/>
      <x:c r="I16" s="4"/>
      <x:c r="J16" s="4"/>
      <x:c r="K16" s="4"/>
      <x:c r="L16" s="4"/>
      <x:c r="M16" s="4"/>
    </x:row>
    <x:row r="17" ht="25" customHeight="1">
      <x:c r="A17" s="3"/>
      <x:c r="B17" s="4"/>
      <x:c r="C17" s="4"/>
      <x:c r="D17" s="4"/>
      <x:c r="E17" s="4"/>
      <x:c r="F17" s="4"/>
      <x:c r="G17" s="4"/>
      <x:c r="H17" s="4"/>
      <x:c r="I17" s="4"/>
      <x:c r="J17" s="4"/>
      <x:c r="K17" s="4"/>
      <x:c r="L17" s="4"/>
      <x:c r="M17" s="4"/>
    </x:row>
    <x:row r="18" ht="30" customHeight="1">
      <x:c r="A18" s="6" t="str">
        <x:v>فحوص التوازن والمنطق — راجع أي نتيجة خلاف OK</x:v>
      </x:c>
      <x:c r="B18" s="15"/>
      <x:c r="C18" s="15"/>
      <x:c r="D18" s="15"/>
      <x:c r="E18" s="4"/>
      <x:c r="F18" s="4"/>
      <x:c r="G18" s="4"/>
      <x:c r="H18" s="4"/>
      <x:c r="I18" s="4"/>
      <x:c r="J18" s="4"/>
      <x:c r="K18" s="4"/>
      <x:c r="L18" s="4"/>
      <x:c r="M18" s="4"/>
    </x:row>
    <x:row r="19" ht="25" customHeight="1">
      <x:c r="A19" s="3"/>
      <x:c r="B19" s="4"/>
      <x:c r="C19" s="4"/>
      <x:c r="D19" s="4"/>
      <x:c r="E19" s="4"/>
      <x:c r="F19" s="4"/>
      <x:c r="G19" s="4"/>
      <x:c r="H19" s="4"/>
      <x:c r="I19" s="4"/>
      <x:c r="J19" s="4"/>
      <x:c r="K19" s="4"/>
      <x:c r="L19" s="4"/>
      <x:c r="M19" s="4"/>
    </x:row>
    <x:row r="20" ht="36" customHeight="1">
      <x:c r="A20" s="3" t="str">
        <x:v>رصيد النقد يتطابق مع حركته</x:v>
      </x:c>
      <x:c r="B20" s="19" t="str">
        <x:f>IF(MAX(ABS(MIN('شهري'!B31:M31)),ABS(MAX('شهري'!B31:M31)))&lt;'الافتراضات'!B33,"OK","راجع النقد")</x:f>
        <x:v>OK</x:v>
      </x:c>
      <x:c r="C20" s="4"/>
      <x:c r="D20" s="4"/>
      <x:c r="E20" s="4"/>
      <x:c r="F20" s="4"/>
      <x:c r="G20" s="4"/>
      <x:c r="H20" s="4"/>
      <x:c r="I20" s="4"/>
      <x:c r="J20" s="4"/>
      <x:c r="K20" s="4"/>
      <x:c r="L20" s="4"/>
      <x:c r="M20" s="4"/>
    </x:row>
    <x:row r="21" ht="36" customHeight="1">
      <x:c r="A21" s="3" t="str">
        <x:v>المخزون يتطابق مع حركته</x:v>
      </x:c>
      <x:c r="B21" s="19" t="str">
        <x:f>IF(MAX(ABS(MIN('شهري'!B32:M32)),ABS(MAX('شهري'!B32:M32)))&lt;'الافتراضات'!B33,"OK","راجع المخزون")</x:f>
        <x:v>OK</x:v>
      </x:c>
      <x:c r="C21" s="4"/>
      <x:c r="D21" s="4"/>
      <x:c r="E21" s="4"/>
      <x:c r="F21" s="4"/>
      <x:c r="G21" s="4"/>
      <x:c r="H21" s="4"/>
      <x:c r="I21" s="4"/>
      <x:c r="J21" s="4"/>
      <x:c r="K21" s="4"/>
      <x:c r="L21" s="4"/>
      <x:c r="M21" s="4"/>
    </x:row>
    <x:row r="22" ht="36" customHeight="1">
      <x:c r="A22" s="3" t="str">
        <x:v>لا مخزون سالب في نهاية شهر</x:v>
      </x:c>
      <x:c r="B22" s="19" t="str">
        <x:f>IF(MIN('شهري'!B24:M24)&gt;=0,"OK","أعد جدولة التوريد")</x:f>
        <x:v>OK</x:v>
      </x:c>
      <x:c r="C22" s="4"/>
      <x:c r="D22" s="4"/>
      <x:c r="E22" s="4"/>
      <x:c r="F22" s="4"/>
      <x:c r="G22" s="4"/>
      <x:c r="H22" s="4"/>
      <x:c r="I22" s="4"/>
      <x:c r="J22" s="4"/>
      <x:c r="K22" s="4"/>
      <x:c r="L22" s="4"/>
      <x:c r="M22" s="4"/>
    </x:row>
    <x:row r="23" ht="36" customHeight="1">
      <x:c r="A23" s="3" t="str">
        <x:v>لا نقد سالب في نهاية شهر</x:v>
      </x:c>
      <x:c r="B23" s="19" t="str">
        <x:f>IF(MIN('شهري'!B30:M30)&gt;=0,"OK","تمويل إضافي مطلوب")</x:f>
        <x:v>OK</x:v>
      </x:c>
      <x:c r="C23" s="4"/>
      <x:c r="D23" s="4"/>
      <x:c r="E23" s="4"/>
      <x:c r="F23" s="4"/>
      <x:c r="G23" s="4"/>
      <x:c r="H23" s="4"/>
      <x:c r="I23" s="4"/>
      <x:c r="J23" s="4"/>
      <x:c r="K23" s="4"/>
      <x:c r="L23" s="4"/>
      <x:c r="M23" s="4"/>
    </x:row>
    <x:row r="24" ht="36" customHeight="1">
      <x:c r="A24" s="3" t="str">
        <x:v>لا هبوط تحت مخزون الأمان</x:v>
      </x:c>
      <x:c r="B24" s="19" t="str">
        <x:f>IF(MIN('شهري'!B33:M33)&gt;=0,"OK","راجع مخزون الأمان")</x:f>
        <x:v>OK</x:v>
      </x:c>
      <x:c r="C24" s="4"/>
      <x:c r="D24" s="4"/>
      <x:c r="E24" s="4"/>
      <x:c r="F24" s="4"/>
      <x:c r="G24" s="4"/>
      <x:c r="H24" s="4"/>
      <x:c r="I24" s="4"/>
      <x:c r="J24" s="4"/>
      <x:c r="K24" s="4"/>
      <x:c r="L24" s="4"/>
      <x:c r="M24" s="4"/>
    </x:row>
    <x:row r="25" ht="36" customHeight="1">
      <x:c r="A25" s="3" t="str">
        <x:v>الأساسي يتطابق مع السيناريو</x:v>
      </x:c>
      <x:c r="B25" s="19" t="str">
        <x:f>IF(ABS(SUM('شهري'!B19:M19)-'السيناريوهات'!C27)&lt;'الافتراضات'!B33,"OK","راجع الربحية")</x:f>
        <x:v>OK</x:v>
      </x:c>
      <x:c r="C25" s="4"/>
      <x:c r="D25" s="4"/>
      <x:c r="E25" s="4"/>
      <x:c r="F25" s="4"/>
      <x:c r="G25" s="4"/>
      <x:c r="H25" s="4"/>
      <x:c r="I25" s="4"/>
      <x:c r="J25" s="4"/>
      <x:c r="K25" s="4"/>
      <x:c r="L25" s="4"/>
      <x:c r="M25" s="4"/>
    </x:row>
    <x:row r="26" ht="36" customHeight="1">
      <x:c r="A26" s="3" t="str">
        <x:v>جسر الربح والنقد والمخزون</x:v>
      </x:c>
      <x:c r="B26" s="19" t="str">
        <x:f>IF(ABS('شهري'!M30-'الافتراضات'!B44-SUM('شهري'!B19:M19)-('الافتراضات'!B19-'شهري'!M24)*'الافتراضات'!B10)&lt;'الافتراضات'!B33,"OK","راجع مقدم المورد")</x:f>
        <x:v>OK</x:v>
      </x:c>
      <x:c r="C26" s="4"/>
      <x:c r="D26" s="4"/>
      <x:c r="E26" s="4"/>
      <x:c r="F26" s="4"/>
      <x:c r="G26" s="4"/>
      <x:c r="H26" s="4"/>
      <x:c r="I26" s="4"/>
      <x:c r="J26" s="4"/>
      <x:c r="K26" s="4"/>
      <x:c r="L26" s="4"/>
      <x:c r="M26" s="4"/>
    </x:row>
    <x:row r="27" ht="36" customHeight="1">
      <x:c r="A27" s="3" t="str">
        <x:v>أفق النموذج ثابت 12 شهرًا</x:v>
      </x:c>
      <x:c r="B27" s="19" t="str">
        <x:f>IF('الافتراضات'!B32=12,"OK","الأفق غير مدعوم")</x:f>
        <x:v>OK</x:v>
      </x:c>
      <x:c r="C27" s="4"/>
      <x:c r="D27" s="4"/>
      <x:c r="E27" s="4"/>
      <x:c r="F27" s="4"/>
      <x:c r="G27" s="4"/>
      <x:c r="H27" s="4"/>
      <x:c r="I27" s="4"/>
      <x:c r="J27" s="4"/>
      <x:c r="K27" s="4"/>
      <x:c r="L27" s="4"/>
      <x:c r="M27" s="4"/>
    </x:row>
    <x:row r="28" ht="36" customHeight="1">
      <x:c r="A28" s="3" t="str">
        <x:v>استلام مبكر يحتاج مقدم افتتاحي</x:v>
      </x:c>
      <x:c r="B28" s="19" t="str">
        <x:f>IF(SUMPRODUCT('الافتراضات'!B52:M52,--('شهري'!B5:M5&lt;='الافتراضات'!B24))*'الافتراضات'!B25=0,"OK","أضف مقدم ما قبل السنة")</x:f>
        <x:v>OK</x:v>
      </x:c>
      <x:c r="C28" s="4"/>
      <x:c r="D28" s="4"/>
      <x:c r="E28" s="4"/>
      <x:c r="F28" s="4"/>
      <x:c r="G28" s="4"/>
      <x:c r="H28" s="4"/>
      <x:c r="I28" s="4"/>
      <x:c r="J28" s="4"/>
      <x:c r="K28" s="4"/>
      <x:c r="L28" s="4"/>
      <x:c r="M28" s="4"/>
    </x:row>
    <x:row r="29" ht="25" customHeight="1">
      <x:c r="A29" s="3"/>
      <x:c r="B29" s="4"/>
      <x:c r="C29" s="4"/>
      <x:c r="D29" s="4"/>
      <x:c r="E29" s="4"/>
      <x:c r="F29" s="4"/>
      <x:c r="G29" s="4"/>
      <x:c r="H29" s="4"/>
      <x:c r="I29" s="4"/>
      <x:c r="J29" s="4"/>
      <x:c r="K29" s="4"/>
      <x:c r="L29" s="4"/>
      <x:c r="M29" s="4"/>
    </x:row>
    <x:row r="30" ht="25" customHeight="1">
      <x:c r="A30" s="3"/>
      <x:c r="B30" s="4"/>
      <x:c r="C30" s="4"/>
      <x:c r="D30" s="4"/>
      <x:c r="E30" s="4"/>
      <x:c r="F30" s="4"/>
      <x:c r="G30" s="4"/>
      <x:c r="H30" s="4"/>
      <x:c r="I30" s="4"/>
      <x:c r="J30" s="4"/>
      <x:c r="K30" s="4"/>
      <x:c r="L30" s="4"/>
      <x:c r="M30" s="4"/>
    </x:row>
    <x:row r="31" ht="25" customHeight="1">
      <x:c r="A31" s="16" t="str">
        <x:v>التحقق الحسابي لا يثبت واقعية الافتراضات. يجب استبدال تكاليف المورد والتشغيل بعروض موثقة، وقياس التحويل والخصم والتسويق والمرتجعات في اختبار مدفوع. لا يتضمن الملف حجم سوق منشورًا أو إيرادًا محققًا.</x:v>
      </x:c>
      <x:c r="B31" s="17"/>
      <x:c r="C31" s="17"/>
      <x:c r="D31" s="17"/>
      <x:c r="E31" s="4"/>
      <x:c r="F31" s="4"/>
      <x:c r="G31" s="4"/>
      <x:c r="H31" s="4"/>
      <x:c r="I31" s="4"/>
      <x:c r="J31" s="4"/>
      <x:c r="K31" s="4"/>
      <x:c r="L31" s="4"/>
      <x:c r="M31" s="4"/>
    </x:row>
    <x:row r="32" ht="25" customHeight="1">
      <x:c r="A32" s="16"/>
      <x:c r="B32" s="17"/>
      <x:c r="C32" s="17"/>
      <x:c r="D32" s="17"/>
      <x:c r="E32" s="4"/>
      <x:c r="F32" s="4"/>
      <x:c r="G32" s="4"/>
      <x:c r="H32" s="4"/>
      <x:c r="I32" s="4"/>
      <x:c r="J32" s="4"/>
      <x:c r="K32" s="4"/>
      <x:c r="L32" s="4"/>
      <x:c r="M32" s="4"/>
    </x:row>
    <x:row r="33" ht="25" customHeight="1">
      <x:c r="A33" s="16"/>
      <x:c r="B33" s="17"/>
      <x:c r="C33" s="17"/>
      <x:c r="D33" s="17"/>
      <x:c r="E33" s="4"/>
      <x:c r="F33" s="4"/>
      <x:c r="G33" s="4"/>
      <x:c r="H33" s="4"/>
      <x:c r="I33" s="4"/>
      <x:c r="J33" s="4"/>
      <x:c r="K33" s="4"/>
      <x:c r="L33" s="4"/>
      <x:c r="M33" s="4"/>
    </x:row>
    <x:row r="34" ht="25" customHeight="1">
      <x:c r="A34" s="16"/>
      <x:c r="B34" s="17"/>
      <x:c r="C34" s="17"/>
      <x:c r="D34" s="17"/>
      <x:c r="E34" s="4"/>
      <x:c r="F34" s="4"/>
      <x:c r="G34" s="4"/>
      <x:c r="H34" s="4"/>
      <x:c r="I34" s="4"/>
      <x:c r="J34" s="4"/>
      <x:c r="K34" s="4"/>
      <x:c r="L34" s="4"/>
      <x:c r="M34" s="4"/>
    </x:row>
    <x:row r="35" ht="25" customHeight="1">
      <x:c r="A35" s="3"/>
      <x:c r="B35" s="4"/>
      <x:c r="C35" s="4"/>
      <x:c r="D35" s="4"/>
      <x:c r="E35" s="4"/>
      <x:c r="F35" s="4"/>
      <x:c r="G35" s="4"/>
      <x:c r="H35" s="4"/>
      <x:c r="I35" s="4"/>
      <x:c r="J35" s="4"/>
      <x:c r="K35" s="4"/>
      <x:c r="L35" s="4"/>
      <x:c r="M35" s="4"/>
    </x:row>
    <x:row r="36" ht="25" customHeight="1">
      <x:c r="A36" s="3"/>
      <x:c r="B36" s="4"/>
      <x:c r="C36" s="4"/>
      <x:c r="D36" s="4"/>
      <x:c r="E36" s="4"/>
      <x:c r="F36" s="4"/>
      <x:c r="G36" s="4"/>
      <x:c r="H36" s="4"/>
      <x:c r="I36" s="4"/>
      <x:c r="J36" s="4"/>
      <x:c r="K36" s="4"/>
      <x:c r="L36" s="4"/>
      <x:c r="M36" s="4"/>
    </x:row>
    <x:row r="37" ht="25" customHeight="1">
      <x:c r="A37" s="3"/>
      <x:c r="B37" s="4"/>
      <x:c r="C37" s="4"/>
      <x:c r="D37" s="4"/>
      <x:c r="E37" s="4"/>
      <x:c r="F37" s="4"/>
      <x:c r="G37" s="4"/>
      <x:c r="H37" s="4"/>
      <x:c r="I37" s="4"/>
      <x:c r="J37" s="4"/>
      <x:c r="K37" s="4"/>
      <x:c r="L37" s="4"/>
      <x:c r="M37" s="4"/>
    </x:row>
    <x:row r="38" ht="25" customHeight="1">
      <x:c r="A38" s="3"/>
      <x:c r="B38" s="4"/>
      <x:c r="C38" s="4"/>
      <x:c r="D38" s="4"/>
      <x:c r="E38" s="4"/>
      <x:c r="F38" s="4"/>
      <x:c r="G38" s="4"/>
      <x:c r="H38" s="4"/>
      <x:c r="I38" s="4"/>
      <x:c r="J38" s="4"/>
      <x:c r="K38" s="4"/>
      <x:c r="L38" s="4"/>
      <x:c r="M38" s="4"/>
    </x:row>
    <x:row r="39" ht="25" customHeight="1">
      <x:c r="A39" s="3"/>
      <x:c r="B39" s="4"/>
      <x:c r="C39" s="4"/>
      <x:c r="D39" s="4"/>
      <x:c r="E39" s="4"/>
      <x:c r="F39" s="4"/>
      <x:c r="G39" s="4"/>
      <x:c r="H39" s="4"/>
      <x:c r="I39" s="4"/>
      <x:c r="J39" s="4"/>
      <x:c r="K39" s="4"/>
      <x:c r="L39" s="4"/>
      <x:c r="M39" s="4"/>
    </x:row>
    <x:row r="40" ht="25" customHeight="1">
      <x:c r="A40" s="3"/>
      <x:c r="B40" s="4"/>
      <x:c r="C40" s="4"/>
      <x:c r="D40" s="4"/>
      <x:c r="E40" s="4"/>
      <x:c r="F40" s="4"/>
      <x:c r="G40" s="4"/>
      <x:c r="H40" s="4"/>
      <x:c r="I40" s="4"/>
      <x:c r="J40" s="4"/>
      <x:c r="K40" s="4"/>
      <x:c r="L40" s="4"/>
      <x:c r="M40" s="4"/>
    </x:row>
    <x:row r="41" ht="25" customHeight="1">
      <x:c r="A41" s="3"/>
      <x:c r="B41" s="4"/>
      <x:c r="C41" s="4"/>
      <x:c r="D41" s="4"/>
      <x:c r="E41" s="4"/>
      <x:c r="F41" s="4"/>
      <x:c r="G41" s="4"/>
      <x:c r="H41" s="4"/>
      <x:c r="I41" s="4"/>
      <x:c r="J41" s="4"/>
      <x:c r="K41" s="4"/>
      <x:c r="L41" s="4"/>
      <x:c r="M41" s="4"/>
    </x:row>
    <x:row r="42" ht="25" customHeight="1">
      <x:c r="A42" s="3"/>
      <x:c r="B42" s="4"/>
      <x:c r="C42" s="4"/>
      <x:c r="D42" s="4"/>
      <x:c r="E42" s="4"/>
      <x:c r="F42" s="4"/>
      <x:c r="G42" s="4"/>
      <x:c r="H42" s="4"/>
      <x:c r="I42" s="4"/>
      <x:c r="J42" s="4"/>
      <x:c r="K42" s="4"/>
      <x:c r="L42" s="4"/>
      <x:c r="M42" s="4"/>
    </x:row>
    <x:row r="43" ht="25" customHeight="1">
      <x:c r="A43" s="3"/>
      <x:c r="B43" s="4"/>
      <x:c r="C43" s="4"/>
      <x:c r="D43" s="4"/>
      <x:c r="E43" s="4"/>
      <x:c r="F43" s="4"/>
      <x:c r="G43" s="4"/>
      <x:c r="H43" s="4"/>
      <x:c r="I43" s="4"/>
      <x:c r="J43" s="4"/>
      <x:c r="K43" s="4"/>
      <x:c r="L43" s="4"/>
      <x:c r="M43" s="4"/>
    </x:row>
    <x:row r="44" ht="25" customHeight="1">
      <x:c r="A44" s="3"/>
      <x:c r="B44" s="4"/>
      <x:c r="C44" s="4"/>
      <x:c r="D44" s="4"/>
      <x:c r="E44" s="4"/>
      <x:c r="F44" s="4"/>
      <x:c r="G44" s="4"/>
      <x:c r="H44" s="4"/>
      <x:c r="I44" s="4"/>
      <x:c r="J44" s="4"/>
      <x:c r="K44" s="4"/>
      <x:c r="L44" s="4"/>
      <x:c r="M44" s="4"/>
    </x:row>
    <x:row r="45" ht="25" customHeight="1">
      <x:c r="A45" s="3"/>
      <x:c r="B45" s="4"/>
      <x:c r="C45" s="4"/>
      <x:c r="D45" s="4"/>
      <x:c r="E45" s="4"/>
      <x:c r="F45" s="4"/>
      <x:c r="G45" s="4"/>
      <x:c r="H45" s="4"/>
      <x:c r="I45" s="4"/>
      <x:c r="J45" s="4"/>
      <x:c r="K45" s="4"/>
      <x:c r="L45" s="4"/>
      <x:c r="M45" s="4"/>
    </x:row>
    <x:row r="46" ht="25" customHeight="1">
      <x:c r="A46" s="3"/>
      <x:c r="B46" s="4"/>
      <x:c r="C46" s="4"/>
      <x:c r="D46" s="4"/>
      <x:c r="E46" s="4"/>
      <x:c r="F46" s="4"/>
      <x:c r="G46" s="4"/>
      <x:c r="H46" s="4"/>
      <x:c r="I46" s="4"/>
      <x:c r="J46" s="4"/>
      <x:c r="K46" s="4"/>
      <x:c r="L46" s="4"/>
      <x:c r="M46" s="4"/>
    </x:row>
    <x:row r="47" ht="25" customHeight="1">
      <x:c r="A47" s="3"/>
      <x:c r="B47" s="4"/>
      <x:c r="C47" s="4"/>
      <x:c r="D47" s="4"/>
      <x:c r="E47" s="4"/>
      <x:c r="F47" s="4"/>
      <x:c r="G47" s="4"/>
      <x:c r="H47" s="4"/>
      <x:c r="I47" s="4"/>
      <x:c r="J47" s="4"/>
      <x:c r="K47" s="4"/>
      <x:c r="L47" s="4"/>
      <x:c r="M47" s="4"/>
    </x:row>
    <x:row r="48" ht="25" customHeight="1">
      <x:c r="A48" s="3"/>
      <x:c r="B48" s="4"/>
      <x:c r="C48" s="4"/>
      <x:c r="D48" s="4"/>
      <x:c r="E48" s="4"/>
      <x:c r="F48" s="4"/>
      <x:c r="G48" s="4"/>
      <x:c r="H48" s="4"/>
      <x:c r="I48" s="4"/>
      <x:c r="J48" s="4"/>
      <x:c r="K48" s="4"/>
      <x:c r="L48" s="4"/>
      <x:c r="M48" s="4"/>
    </x:row>
    <x:row r="49" ht="25" customHeight="1">
      <x:c r="A49" s="3"/>
      <x:c r="B49" s="4"/>
      <x:c r="C49" s="4"/>
      <x:c r="D49" s="4"/>
      <x:c r="E49" s="4"/>
      <x:c r="F49" s="4"/>
      <x:c r="G49" s="4"/>
      <x:c r="H49" s="4"/>
      <x:c r="I49" s="4"/>
      <x:c r="J49" s="4"/>
      <x:c r="K49" s="4"/>
      <x:c r="L49" s="4"/>
      <x:c r="M49" s="4"/>
    </x:row>
    <x:row r="50" ht="25" customHeight="1">
      <x:c r="A50" s="3"/>
      <x:c r="B50" s="4"/>
      <x:c r="C50" s="4"/>
      <x:c r="D50" s="4"/>
      <x:c r="E50" s="4"/>
      <x:c r="F50" s="4"/>
      <x:c r="G50" s="4"/>
      <x:c r="H50" s="4"/>
      <x:c r="I50" s="4"/>
      <x:c r="J50" s="4"/>
      <x:c r="K50" s="4"/>
      <x:c r="L50" s="4"/>
      <x:c r="M50" s="4"/>
    </x:row>
    <x:row r="51" ht="25" customHeight="1">
      <x:c r="A51" s="3"/>
      <x:c r="B51" s="4"/>
      <x:c r="C51" s="4"/>
      <x:c r="D51" s="4"/>
      <x:c r="E51" s="4"/>
      <x:c r="F51" s="4"/>
      <x:c r="G51" s="4"/>
      <x:c r="H51" s="4"/>
      <x:c r="I51" s="4"/>
      <x:c r="J51" s="4"/>
      <x:c r="K51" s="4"/>
      <x:c r="L51" s="4"/>
      <x:c r="M51" s="4"/>
    </x:row>
    <x:row r="52" ht="25" customHeight="1">
      <x:c r="A52" s="3"/>
      <x:c r="B52" s="4"/>
      <x:c r="C52" s="4"/>
      <x:c r="D52" s="4"/>
      <x:c r="E52" s="4"/>
      <x:c r="F52" s="4"/>
      <x:c r="G52" s="4"/>
      <x:c r="H52" s="4"/>
      <x:c r="I52" s="4"/>
      <x:c r="J52" s="4"/>
      <x:c r="K52" s="4"/>
      <x:c r="L52" s="4"/>
      <x:c r="M52" s="4"/>
    </x:row>
    <x:row r="53" ht="25" customHeight="1">
      <x:c r="A53" s="3"/>
      <x:c r="B53" s="4"/>
      <x:c r="C53" s="4"/>
      <x:c r="D53" s="4"/>
      <x:c r="E53" s="4"/>
      <x:c r="F53" s="4"/>
      <x:c r="G53" s="4"/>
      <x:c r="H53" s="4"/>
      <x:c r="I53" s="4"/>
      <x:c r="J53" s="4"/>
      <x:c r="K53" s="4"/>
      <x:c r="L53" s="4"/>
      <x:c r="M53" s="4"/>
    </x:row>
    <x:row r="54" ht="25" customHeight="1">
      <x:c r="A54" s="3"/>
      <x:c r="B54" s="4"/>
      <x:c r="C54" s="4"/>
      <x:c r="D54" s="4"/>
      <x:c r="E54" s="4"/>
      <x:c r="F54" s="4"/>
      <x:c r="G54" s="4"/>
      <x:c r="H54" s="4"/>
      <x:c r="I54" s="4"/>
      <x:c r="J54" s="4"/>
      <x:c r="K54" s="4"/>
      <x:c r="L54" s="4"/>
      <x:c r="M54" s="4"/>
    </x:row>
    <x:row r="55" ht="25" customHeight="1">
      <x:c r="A55" s="3"/>
      <x:c r="B55" s="4"/>
      <x:c r="C55" s="4"/>
      <x:c r="D55" s="4"/>
      <x:c r="E55" s="4"/>
      <x:c r="F55" s="4"/>
      <x:c r="G55" s="4"/>
      <x:c r="H55" s="4"/>
      <x:c r="I55" s="4"/>
      <x:c r="J55" s="4"/>
      <x:c r="K55" s="4"/>
      <x:c r="L55" s="4"/>
      <x:c r="M55" s="4"/>
    </x:row>
    <x:row r="56" ht="25" customHeight="1">
      <x:c r="A56" s="3"/>
      <x:c r="B56" s="4"/>
      <x:c r="C56" s="4"/>
      <x:c r="D56" s="4"/>
      <x:c r="E56" s="4"/>
      <x:c r="F56" s="4"/>
      <x:c r="G56" s="4"/>
      <x:c r="H56" s="4"/>
      <x:c r="I56" s="4"/>
      <x:c r="J56" s="4"/>
      <x:c r="K56" s="4"/>
      <x:c r="L56" s="4"/>
      <x:c r="M56" s="4"/>
    </x:row>
    <x:row r="57" ht="25" customHeight="1">
      <x:c r="A57" s="3"/>
      <x:c r="B57" s="4"/>
      <x:c r="C57" s="4"/>
      <x:c r="D57" s="4"/>
      <x:c r="E57" s="4"/>
      <x:c r="F57" s="4"/>
      <x:c r="G57" s="4"/>
      <x:c r="H57" s="4"/>
      <x:c r="I57" s="4"/>
      <x:c r="J57" s="4"/>
      <x:c r="K57" s="4"/>
      <x:c r="L57" s="4"/>
      <x:c r="M57" s="4"/>
    </x:row>
    <x:row r="58" ht="25" customHeight="1">
      <x:c r="A58" s="3"/>
      <x:c r="B58" s="4"/>
      <x:c r="C58" s="4"/>
      <x:c r="D58" s="4"/>
      <x:c r="E58" s="4"/>
      <x:c r="F58" s="4"/>
      <x:c r="G58" s="4"/>
      <x:c r="H58" s="4"/>
      <x:c r="I58" s="4"/>
      <x:c r="J58" s="4"/>
      <x:c r="K58" s="4"/>
      <x:c r="L58" s="4"/>
      <x:c r="M58" s="4"/>
    </x:row>
    <x:row r="59" ht="25" customHeight="1">
      <x:c r="A59" s="3"/>
      <x:c r="B59" s="4"/>
      <x:c r="C59" s="4"/>
      <x:c r="D59" s="4"/>
      <x:c r="E59" s="4"/>
      <x:c r="F59" s="4"/>
      <x:c r="G59" s="4"/>
      <x:c r="H59" s="4"/>
      <x:c r="I59" s="4"/>
      <x:c r="J59" s="4"/>
      <x:c r="K59" s="4"/>
      <x:c r="L59" s="4"/>
      <x:c r="M59" s="4"/>
    </x:row>
    <x:row r="60" ht="25" customHeight="1">
      <x:c r="A60" s="3"/>
      <x:c r="B60" s="4"/>
      <x:c r="C60" s="4"/>
      <x:c r="D60" s="4"/>
      <x:c r="E60" s="4"/>
      <x:c r="F60" s="4"/>
      <x:c r="G60" s="4"/>
      <x:c r="H60" s="4"/>
      <x:c r="I60" s="4"/>
      <x:c r="J60" s="4"/>
      <x:c r="K60" s="4"/>
      <x:c r="L60" s="4"/>
      <x:c r="M60" s="4"/>
    </x:row>
  </x:sheetData>
  <x:mergeCells>
    <x:mergeCell ref="A1:D1"/>
    <x:mergeCell ref="A2:D3"/>
    <x:mergeCell ref="A18:D18"/>
    <x:mergeCell ref="A31:D34"/>
  </x:mergeCells>
  <x:pageMargins left="0.7" right="0.7" top="0.75" bottom="0.75" header="0.3" footer="0.3"/>
</x:worksheet>
</file>